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eries" sheetId="1" r:id="rId5"/>
    <sheet state="visible" name="expected" sheetId="2" r:id="rId6"/>
    <sheet state="visible" name="results_vendor_b" sheetId="3" r:id="rId7"/>
    <sheet state="visible" name="results_vendor_c" sheetId="4" r:id="rId8"/>
    <sheet state="visible" name="results_exa" sheetId="5" r:id="rId9"/>
    <sheet state="visible" name="results_exa_ft" sheetId="6" r:id="rId10"/>
    <sheet state="visible" name="final_results" sheetId="7" r:id="rId11"/>
  </sheets>
  <definedNames/>
  <calcPr/>
</workbook>
</file>

<file path=xl/sharedStrings.xml><?xml version="1.0" encoding="utf-8"?>
<sst xmlns="http://schemas.openxmlformats.org/spreadsheetml/2006/main" count="1147" uniqueCount="424">
  <si>
    <t>id</t>
  </si>
  <si>
    <t>query</t>
  </si>
  <si>
    <t>intent</t>
  </si>
  <si>
    <t>mode</t>
  </si>
  <si>
    <t>user_country</t>
  </si>
  <si>
    <t>user_city</t>
  </si>
  <si>
    <t>language</t>
  </si>
  <si>
    <t>q01</t>
  </si>
  <si>
    <t>good laksa near me that's open late</t>
  </si>
  <si>
    <t>local</t>
  </si>
  <si>
    <t>chat</t>
  </si>
  <si>
    <t>SG</t>
  </si>
  <si>
    <t>Tanjong Pagar</t>
  </si>
  <si>
    <t>en</t>
  </si>
  <si>
    <t>q02</t>
  </si>
  <si>
    <t>best char kway teow around here that isn't a tourist trap</t>
  </si>
  <si>
    <t>MY</t>
  </si>
  <si>
    <t>George Town, Penang</t>
  </si>
  <si>
    <t>q03</t>
  </si>
  <si>
    <t>any good brunch places nearby</t>
  </si>
  <si>
    <t>voice</t>
  </si>
  <si>
    <t>Bangsar, Kuala Lumpur</t>
  </si>
  <si>
    <t>q04</t>
  </si>
  <si>
    <t>kid-friendly things to do near me on a rainy day</t>
  </si>
  <si>
    <t>PH</t>
  </si>
  <si>
    <t>BGC, Taguig</t>
  </si>
  <si>
    <t>q05</t>
  </si>
  <si>
    <t>vegetarian restaurants near me</t>
  </si>
  <si>
    <t>TH</t>
  </si>
  <si>
    <t>Ari, Bangkok</t>
  </si>
  <si>
    <t>q06</t>
  </si>
  <si>
    <t>nearest polyclinic and when it's open</t>
  </si>
  <si>
    <t>Punggol</t>
  </si>
  <si>
    <t>q07</t>
  </si>
  <si>
    <t>附近有什么好吃的点心</t>
  </si>
  <si>
    <t>Bugis</t>
  </si>
  <si>
    <t>zh</t>
  </si>
  <si>
    <t>q08</t>
  </si>
  <si>
    <t>is Malaysia's minimum wage going up?</t>
  </si>
  <si>
    <t>news</t>
  </si>
  <si>
    <t>expected_answer</t>
  </si>
  <si>
    <t>Kuala Lumpur</t>
  </si>
  <si>
    <t>written_by</t>
  </si>
  <si>
    <t>q09</t>
  </si>
  <si>
    <t>what's the latest on the RTS Link opening date</t>
  </si>
  <si>
    <t>Woodlands</t>
  </si>
  <si>
    <t>q10</t>
  </si>
  <si>
    <t>who won the Singapore Grand Prix</t>
  </si>
  <si>
    <t>A specific laksa stall or restaurant within about 2 km of Tanjong Pagar that is open after 10pm. Not a generic 'best laksa in Singapore' list.</t>
  </si>
  <si>
    <t>ops team, 18 Sep 2026</t>
  </si>
  <si>
    <t>Tampines</t>
  </si>
  <si>
    <t>q11</t>
  </si>
  <si>
    <t>what's in Budget 2027 for students</t>
  </si>
  <si>
    <t>Specific char kway teow stalls in George Town that locals rate, not the most-touristed spots.</t>
  </si>
  <si>
    <t>Petaling Jaya</t>
  </si>
  <si>
    <t>q12</t>
  </si>
  <si>
    <t>berita terbaru harga BBM Pertamina</t>
  </si>
  <si>
    <t>ID</t>
  </si>
  <si>
    <t>Surabaya</t>
  </si>
  <si>
    <t>Two or three specific brunch places in or near Bangsar, KL.</t>
  </si>
  <si>
    <t>q13</t>
  </si>
  <si>
    <t>do I need to fill in an arrival card for Thailand</t>
  </si>
  <si>
    <t>travel</t>
  </si>
  <si>
    <t>Toa Payoh</t>
  </si>
  <si>
    <t>Indoor, kid-friendly options in or near BGC (e.g. museums, play centres in malls).</t>
  </si>
  <si>
    <t>q14</t>
  </si>
  <si>
    <t>how long can Malaysians stay in China without a visa</t>
  </si>
  <si>
    <t>Cheras, Kuala Lumpur</t>
  </si>
  <si>
    <t>Specific vegetarian or vegan restaurants in or near Ari, Bangkok.</t>
  </si>
  <si>
    <t>q15</t>
  </si>
  <si>
    <t>fastest way to Marina Bay from the airport at 1am</t>
  </si>
  <si>
    <t>Changi Airport</t>
  </si>
  <si>
    <t>q16</t>
  </si>
  <si>
    <t>do Singaporeans need a visa for Japan</t>
  </si>
  <si>
    <t>Punggol Polyclinic (Oasis Terraces) with its opening hours from an official source.</t>
  </si>
  <si>
    <t>Clementi</t>
  </si>
  <si>
    <t>q17</t>
  </si>
  <si>
    <t>what's the baggage allowance on Cebu Pacific GO Basic</t>
  </si>
  <si>
    <t>Cebu City</t>
  </si>
  <si>
    <t>附近（武吉士一带）具体的点心餐厅推荐。</t>
  </si>
  <si>
    <t>q18</t>
  </si>
  <si>
    <t>how do I get from KLIA to KL Sentral</t>
  </si>
  <si>
    <t>Sepang</t>
  </si>
  <si>
    <t>No. Malaysia's minimum wage is RM1,700 a month (from 1 Feb 2025; all employers from 1 Aug 2025). No further increase has been announced.</t>
  </si>
  <si>
    <t>q19</t>
  </si>
  <si>
    <t>best budget noise-cancelling earbuds under 150 dollars</t>
  </si>
  <si>
    <t>shopping</t>
  </si>
  <si>
    <t>Orchard</t>
  </si>
  <si>
    <t>q20</t>
  </si>
  <si>
    <t>The latest official update on when the Johor Bahru-Singapore RTS Link starts passenger service, from the last month.</t>
  </si>
  <si>
    <t>cheapest place to buy an iPhone 17 in Malaysia</t>
  </si>
  <si>
    <t>Shah Alam</t>
  </si>
  <si>
    <t>q21</t>
  </si>
  <si>
    <t>The winner of the most recent Singapore Grand Prix, with the year.</t>
  </si>
  <si>
    <t>is the Dyson V15 worth it or should I get something cheaper</t>
  </si>
  <si>
    <t>Sengkang</t>
  </si>
  <si>
    <t>q22</t>
  </si>
  <si>
    <t>Measures for students in Malaysia's Budget 2027 (to be tabled in October 2026).</t>
  </si>
  <si>
    <t>which SIM card should I buy at the airport</t>
  </si>
  <si>
    <t>Suvarnabhumi Airport</t>
  </si>
  <si>
    <t>q23</t>
  </si>
  <si>
    <t>how do I make kaya at home</t>
  </si>
  <si>
    <t>general</t>
  </si>
  <si>
    <t>Update harga BBM Pertamina terbaru (penyesuaian bulanan), dari bulan ini.</t>
  </si>
  <si>
    <t>Ang Mo Kio</t>
  </si>
  <si>
    <t>q24</t>
  </si>
  <si>
    <t>what's the difference between CPF OA and SA</t>
  </si>
  <si>
    <t>Bedok</t>
  </si>
  <si>
    <t>No. Thailand stopped requiring the paper TM6 arrival card for air arrivals, so there is nothing to fill in.</t>
  </si>
  <si>
    <t>q25</t>
  </si>
  <si>
    <t>how does ERP 2.0 work</t>
  </si>
  <si>
    <t>Hougang</t>
  </si>
  <si>
    <t>q26</t>
  </si>
  <si>
    <t>how do I renew my passport</t>
  </si>
  <si>
    <t>15 days, under China's unilateral visa-free policy for Malaysian passport holders.</t>
  </si>
  <si>
    <t>Yishun</t>
  </si>
  <si>
    <t>q27</t>
  </si>
  <si>
    <t>what's the weather in KL right now</t>
  </si>
  <si>
    <t>The MRT isn't running at 1am. Take a taxi or Grab, about 20-25 minutes.</t>
  </si>
  <si>
    <t>q28</t>
  </si>
  <si>
    <t>remind me to call mum at 7pm</t>
  </si>
  <si>
    <t>No. Singaporeans can visit Japan visa-free for up to 90 days.</t>
  </si>
  <si>
    <t>Serangoon</t>
  </si>
  <si>
    <t>q29</t>
  </si>
  <si>
    <t>Plan a 3-day trip to Penang from Singapore for a family with a 4-year-old: the cheapest way to get there, halal food each day, and one indoor option per day in case it rains.</t>
  </si>
  <si>
    <t>plan</t>
  </si>
  <si>
    <t>7 kg hand-carry only. Checked baggage isn't included and has to be added.</t>
  </si>
  <si>
    <t>q30</t>
  </si>
  <si>
    <t>My wife and I are both 32 and earn S$9,000 a month together. We want to buy a 4-room HDB resale flat near her parents in Tampines. Which grants can we get, how much in total, and what's the most HDB will lend us and at what interest rate?</t>
  </si>
  <si>
    <t>KLIA Ekspres: about 28 minutes from KLIA Terminal 1 (33 from Terminal 2). KLIA Transit is slower; taxi or e-hailing takes about an hour.</t>
  </si>
  <si>
    <t>q31</t>
  </si>
  <si>
    <t>What's the cheapest way to get from KL Sentral to Orchard Road this Saturday? Compare bus, train and flight with prices and total door-to-door time, including getting to and from the stations or airports.</t>
  </si>
  <si>
    <t>Two to four specific models sold in Singapore under S$150 with active noise cancelling, with SGD prices. Prefer proper reviews over affiliate lists.</t>
  </si>
  <si>
    <t>q32</t>
  </si>
  <si>
    <t>What's the easiest way for a Filipino to get a Japan tourist visa, how long does it take and what documents do I need?</t>
  </si>
  <si>
    <t>Quezon City</t>
  </si>
  <si>
    <t>Specific retailers or the official Apple Malaysia price, in RM, current.</t>
  </si>
  <si>
    <t>q33</t>
  </si>
  <si>
    <t>Compare the 3 cheapest SIM-only mobile plans in Singapore with at least 100GB of data: price, contract, network, and whether 5G is included.</t>
  </si>
  <si>
    <t>Jurong West</t>
  </si>
  <si>
    <t>q34</t>
  </si>
  <si>
    <t>A balanced answer with specific cheaper alternatives and current Singapore prices.</t>
  </si>
  <si>
    <t>Which Singapore credit cards give the most miles per dollar on overseas spending right now? Give me the top 3 with the earn rate, annual fee and the minimum income to apply.</t>
  </si>
  <si>
    <t>Bishan</t>
  </si>
  <si>
    <t>q35</t>
  </si>
  <si>
    <t>The tourist SIMs sold in the arrivals hall (AIS, TrueMove H, dtac), with current prices and data.</t>
  </si>
  <si>
    <t>I'm a Form 6 student in Selangor. What did Budget 2027 announce for students like me, and how do I apply?</t>
  </si>
  <si>
    <t>q36</t>
  </si>
  <si>
    <t>A kaya recipe: eggs, sugar, coconut milk and pandan, cooked slowly over a double boiler.</t>
  </si>
  <si>
    <t>Plan a one-day food crawl in Chiang Mai's Old City on a Sunday: 5 stops in walking order, with opening hours, what to order at each and a rough price.</t>
  </si>
  <si>
    <t>Chiang Mai</t>
  </si>
  <si>
    <t>q37</t>
  </si>
  <si>
    <t>Which hawker stalls near Tampines are in the latest Michelin Bib Gourmand list, what should I order at each, and what are their opening hours?</t>
  </si>
  <si>
    <t>OA is for housing, education and investments; SA is for retirement and earns more interest (4% floor vs 2.5%). From January 2025 the SA is closed for members aged 55 and above.</t>
  </si>
  <si>
    <t>q38</t>
  </si>
  <si>
    <t>Rekomendasikan 3 laptop untuk mahasiswa di bawah Rp10 juta yang dijual di Indonesia sekarang, bandingkan spesifikasi dan harganya.</t>
  </si>
  <si>
    <t>ERP 2.0 uses a satellite-based on-board unit in each vehicle. Charging still happens at gantries for now; distance-based charging may come later.</t>
  </si>
  <si>
    <t>Bandung</t>
  </si>
  <si>
    <t>q39</t>
  </si>
  <si>
    <t>Singapore citizens renew online through ICA's e-service and collect the passport at ICA (or a chosen collection point).</t>
  </si>
  <si>
    <t>We're flying Singapore Airlines to Tokyo in December with our 2-year-old. What's her baggage allowance, can we take the stroller to the gate, and does she need anything to enter Japan?</t>
  </si>
  <si>
    <t>q40</t>
  </si>
  <si>
    <t>Current temperature and conditions in Kuala Lumpur.</t>
  </si>
  <si>
    <t>I commute from JB to Singapore every day. When does the RTS Link open, what will the fare be, how much time will it save me versus the Causeway bus, and what happens to the KTM Shuttle Tebrau?</t>
  </si>
  <si>
    <t>Johor Bahru</t>
  </si>
  <si>
    <t>Confirms a reminder set for 7pm to call mum.</t>
  </si>
  <si>
    <t>A 3-day plan suited to a young child: the cheapest way from Singapore to Penang with a price, named halal places to eat each day, and an indoor option for each day.</t>
  </si>
  <si>
    <t>For two first-time Singapore citizen buyers: CPF Housing Grant (Family) S$80,000 for a 4-room resale flat, Enhanced CPF Housing Grant S$5,000 at S$8,501-9,000 income, and Proximity Housing Grant S$20,000 for living near (within 4 km of) her parents. Total S$105,000. HDB loan: up to 75% of the price or value, whichever is lower, at 2.6% a year for up to 25 years, with repayments capped at 30% of income (S$2,700 a month).</t>
  </si>
  <si>
    <t>Bus, train and flight compared with current prices and realistic door-to-door times from KL Sentral to Orchard Road, including transfers and immigration, with the cheapest called out. The train option is the ETS to JB Sentral, then the Shuttle Tebrau to Woodlands and the MRT.</t>
  </si>
  <si>
    <t>Apply through the Japan Visa Application Centre (JVAC, run by VFS Global), which has taken applications since April 2025; accredited travel agencies now only handle package tours. Processing takes about 5 working days once the embassy has the application, longer in peak season. The visa is free but JVAC charges a fee. Documents: passport, application form, 45x35 mm photo, PSA birth certificate (and marriage certificate if relevant), bank certificate, ITR or BIR Form 2316, certificate of employment, and a daily schedule (plus a guarantee letter if sponsored).</t>
  </si>
  <si>
    <t>Three named SIM-only plans with 100GB or more, with monthly price, contract terms, network and whether 5G is included at that price.</t>
  </si>
  <si>
    <t>Three named cards with miles per dollar on foreign-currency spend, their annual fees and the minimum income to apply.</t>
  </si>
  <si>
    <t>The Budget 2027 measures that apply to Form 6 students, and how to receive or apply for them.</t>
  </si>
  <si>
    <t>Five named stops in or next to the Old City that are open on a Sunday, in a sensible walking order, each with opening hours, a dish to order and a rough price in baht.</t>
  </si>
  <si>
    <t>Rajarani Thosai and Yi Pin Wei Braised Duck Kway Chap at Tampines Round Market &amp; Food Centre, both on the Bib Gourmand list, with a dish to order at each and their opening hours.</t>
  </si>
  <si>
    <t>Tiga model laptop spesifik di bawah Rp10 juta yang dijual di Indonesia, dengan perbandingan spesifikasi dan harga.</t>
  </si>
  <si>
    <t>A 2-year-old is a child, not an infant: she gets the same checked allowance as an adult on her fare. A compact stroller (under 7 kg) can go in the cabin as cabin baggage; otherwise it is gate-tagged. Singaporeans don't need a visa for Japan; she needs her own passport.</t>
  </si>
  <si>
    <t>The latest official opening target, the fare (or that it hasn't been announced), a realistic time saving against the Causeway bus, and what happens to the KTM Shuttle Tebrau (it is due to stop within six months of the RTS Link starting).</t>
  </si>
  <si>
    <t>provider</t>
  </si>
  <si>
    <t>setup</t>
  </si>
  <si>
    <t>score</t>
  </si>
  <si>
    <t>judge_note</t>
  </si>
  <si>
    <t>search_latency_ms</t>
  </si>
  <si>
    <t>context_tokens_raw</t>
  </si>
  <si>
    <t>context_tokens_used</t>
  </si>
  <si>
    <t>cost_usd</t>
  </si>
  <si>
    <t>run_date</t>
  </si>
  <si>
    <t>Vendor B</t>
  </si>
  <si>
    <t>search API (country set, 5 snippets)</t>
  </si>
  <si>
    <t>Names two late-night laksa spots in Tanjong Pagar/Chinatown.</t>
  </si>
  <si>
    <t>Lists well-known George Town stalls; a couple are the tourist favourites.</t>
  </si>
  <si>
    <t>Vendor C</t>
  </si>
  <si>
    <t>search API (country set, 6 results)</t>
  </si>
  <si>
    <t>Three Bangsar brunch cafes.</t>
  </si>
  <si>
    <t>Laksa places in Tanjong Pagar; no late-night hours.</t>
  </si>
  <si>
    <t>Indoor play centres and a museum in BGC.</t>
  </si>
  <si>
    <t>Vegetarian restaurants in Ari.</t>
  </si>
  <si>
    <t>George Town char kway teow, mostly the famous stalls.</t>
  </si>
  <si>
    <t>Punggol Polyclinic with weekday hours.</t>
  </si>
  <si>
    <t>Brunch in KL, only one in Bangsar.</t>
  </si>
  <si>
    <t>Dim sum near Bugis, one is in Chinatown instead.</t>
  </si>
  <si>
    <t>A mall play area in BGC and generic ideas.</t>
  </si>
  <si>
    <t>Correct: RM1,700, no new increase announced.</t>
  </si>
  <si>
    <t>Says end-2026 target, source is several months old.</t>
  </si>
  <si>
    <t>Names the most recent winner with the year.</t>
  </si>
  <si>
    <t>Punggol Polyclinic, no hours.</t>
  </si>
  <si>
    <t>Says Budget 2027 hasn't been tabled; lists Budget 2026 student measures.</t>
  </si>
  <si>
    <t>武吉士附近的点心，信息较旧。</t>
  </si>
  <si>
    <t>Harga BBM bulan lalu.</t>
  </si>
  <si>
    <t>Correct: no arrival card needed.</t>
  </si>
  <si>
    <t>February 2027 target with a recent source.</t>
  </si>
  <si>
    <t>Wrong: says 30 days. Malaysians get 15 days visa-free in China.</t>
  </si>
  <si>
    <t>Names the most recent winner.</t>
  </si>
  <si>
    <t>Taxi or Grab; MRT closed.</t>
  </si>
  <si>
    <t>Says Budget 2027 is due on 9 October.</t>
  </si>
  <si>
    <t>Exa</t>
  </si>
  <si>
    <t>search (defaults, full text)</t>
  </si>
  <si>
    <t>Visa-free up to 90 days.</t>
  </si>
  <si>
    <t>Late-night picks are in Toa Payoh/Bishan, not near Tanjong Pagar; Boat Quay closes 10pm.</t>
  </si>
  <si>
    <t>7 kg hand-carry only.</t>
  </si>
  <si>
    <t>Recommends Singapore stalls, not George Town, Penang.</t>
  </si>
  <si>
    <t>KLIA Ekspres, about 30 minutes.</t>
  </si>
  <si>
    <t>Recommends Bay City, Michigan spots, not Bangsar, KL.</t>
  </si>
  <si>
    <t>Lists four earbuds under S$150 from a top-10 list.</t>
  </si>
  <si>
    <t>Generic ideas and Phoenix venues; nothing in or near BGC.</t>
  </si>
  <si>
    <t>Official Apple price only, no retailers.</t>
  </si>
  <si>
    <t>Lists New York restaurants, nothing in or near Ari, Bangkok.</t>
  </si>
  <si>
    <t>Compares with two cheaper models.</t>
  </si>
  <si>
    <t>Gives generic polyclinic hours; doesn't name Punggol Polyclinic.</t>
  </si>
  <si>
    <t>AIS and TrueMove tourist SIMs with prices.</t>
  </si>
  <si>
    <t>Recommends US and Hong Kong dim sum, nothing near Bugis.</t>
  </si>
  <si>
    <t>Clear kaya recipe.</t>
  </si>
  <si>
    <t>Wrong: says the minimum wage rises to RM2,000. It stays at RM1,700; no increase announced.</t>
  </si>
  <si>
    <t>Explains OA vs SA and interest rates.</t>
  </si>
  <si>
    <t>KLIA Ekspres, no timings.</t>
  </si>
  <si>
    <t>Gives the 2 Oct 2026 official update: February 2027 target.</t>
  </si>
  <si>
    <t>Explains the on-board unit and gantries.</t>
  </si>
  <si>
    <t>Earbuds list from an affiliate site.</t>
  </si>
  <si>
    <t>Correct: Verstappen won the 2026 Singapore Grand Prix.</t>
  </si>
  <si>
    <t>ICA online renewal steps.</t>
  </si>
  <si>
    <t>Official Apple price only.</t>
  </si>
  <si>
    <t>Mixes in Ireland's budget; Malaysian student measures only partly covered.</t>
  </si>
  <si>
    <t>Gives a temperature, unclear how current.</t>
  </si>
  <si>
    <t>Gives current October 2026 Pertamina prices and monthly-adjustment status.</t>
  </si>
  <si>
    <t>Doesn't set a reminder.</t>
  </si>
  <si>
    <t>One cheaper alternative, no prices.</t>
  </si>
  <si>
    <t>Wrong: says a digital arrival card is needed. Thailand dropped the arrival card, so there's nothing to fill in.</t>
  </si>
  <si>
    <t>research API</t>
  </si>
  <si>
    <t>Three-day plan with flight and bus prices and halal picks each day; indoor options thin.</t>
  </si>
  <si>
    <t>AIS tourist SIM, no prices.</t>
  </si>
  <si>
    <t>Correct grants and S$105,000 total; loan limit right but no interest rate.</t>
  </si>
  <si>
    <t>Correctly says MRT closed; taxi or Grab, about 20-30 minutes.</t>
  </si>
  <si>
    <t>Correct: no visa needed for stays up to 90 days.</t>
  </si>
  <si>
    <t>Bus, ETS plus shuttle, and flight with prices; door-to-door times rough.</t>
  </si>
  <si>
    <t>Correct: 7 kg hand-carry only; checked baggage must be added.</t>
  </si>
  <si>
    <t>JVAC route, processing time and documents; doesn't mention the JVAC fee.</t>
  </si>
  <si>
    <t>Explains OA vs SA.</t>
  </si>
  <si>
    <t>Train details correct; doesn't give the taxi or e-hailing journey time.</t>
  </si>
  <si>
    <t>Three 100GB+ plans with price, contract and network; 5G unclear for one.</t>
  </si>
  <si>
    <t>Only one model under budget; US prices, not Singapore SGD.</t>
  </si>
  <si>
    <t>Partly explains the on-board unit.</t>
  </si>
  <si>
    <t>Three cards with earn rates and fees; minimum income missing for one.</t>
  </si>
  <si>
    <t>Gives official Apple MY price and cheapest retailer, in RM.</t>
  </si>
  <si>
    <t>ICA online renewal, missing the collection step.</t>
  </si>
  <si>
    <t>Says Budget 2027 hasn't been tabled yet; lists Budget 2026 aid.</t>
  </si>
  <si>
    <t>Gives cheaper alternatives but only US prices, no Singapore prices.</t>
  </si>
  <si>
    <t>Five stops in walking order with hours and dishes; prices for most.</t>
  </si>
  <si>
    <t>Generic eSIM advice; no AIS, TrueMove H or dtac plans or prices.</t>
  </si>
  <si>
    <t>Names both Tampines Round Market stalls with dishes; hours for one only.</t>
  </si>
  <si>
    <t>Correct ingredients and double-boiler method with clear steps.</t>
  </si>
  <si>
    <t>Tiga laptop dengan spesifikasi dan harga.</t>
  </si>
  <si>
    <t>answer API</t>
  </si>
  <si>
    <t>Penang plan with a flight price; halal picks only on day 1, one indoor option.</t>
  </si>
  <si>
    <t>Matches expected: uses, interest rates and SA closure at 55.</t>
  </si>
  <si>
    <t>Child allowance, stroller rules and visa-free entry; passport not mentioned.</t>
  </si>
  <si>
    <t>Family Grant and PHG only, no EHG; no total or loan details.</t>
  </si>
  <si>
    <t>Matches expected: satellite OBU, gantry charging for now, distance-based later.</t>
  </si>
  <si>
    <t>Says the RTS Link opens at the end of 2026; fare not announced; Shuttle Tebrau ends.</t>
  </si>
  <si>
    <t>Gives US passport renewal steps, not Singapore ICA process.</t>
  </si>
  <si>
    <t>Bus and flight priced; misses the ETS to JB Sentral; no door-to-door times.</t>
  </si>
  <si>
    <t>Gives KL temperature and conditions, but readings conflict.</t>
  </si>
  <si>
    <t>JVAC route and processing time; documents list incomplete.</t>
  </si>
  <si>
    <t>Doesn't set the reminder; only explains how to do it.</t>
  </si>
  <si>
    <t>No way to get to Penang or price given; halal named only on day 1.</t>
  </si>
  <si>
    <t>Three plans with prices; contract and 5G missing.</t>
  </si>
  <si>
    <t>Wrong EHG (up to S$120,000) and total S$230,000; no interest rate.</t>
  </si>
  <si>
    <t>Three cards with earn rates; fee and minimum income missing for one.</t>
  </si>
  <si>
    <t>Names train as cheapest at $6-20, contradicting bus; currency unclear.</t>
  </si>
  <si>
    <t>Doesn't name JVAC as route, gives no document list, and gives a wrong fee.</t>
  </si>
  <si>
    <t>Says Budget 2027 is due on 9 October; no Form 6 details.</t>
  </si>
  <si>
    <t>Three plans with price, network and 5G; contract not stated for the first.</t>
  </si>
  <si>
    <t>Five stops with hours, but one is closed on Sundays.</t>
  </si>
  <si>
    <t>Three cards with earn rates, fees, incomes and minimum-spend condition for Maybank.</t>
  </si>
  <si>
    <t>Names Rajarani Thosai only, no hours.</t>
  </si>
  <si>
    <t>Says nothing about the Form Six allowance; claims no student measures found.</t>
  </si>
  <si>
    <t>Five stops with hours, dishes and prices; some are markets outside the Old City.</t>
  </si>
  <si>
    <t>Has both stalls, dishes, hours, but adds three non-Bib stalls and hedges on Yi Pin Wei.</t>
  </si>
  <si>
    <t>Child allowance and stroller rules; Japan entry brief.</t>
  </si>
  <si>
    <t>Three laptops with specs and prices, but prices are approximate from articles.</t>
  </si>
  <si>
    <t>February 2027 target and fare not announced; Shuttle Tebrau not covered.</t>
  </si>
  <si>
    <t>Hedges on baggage, covers stroller partly, and gives nothing on Japan entry requirements.</t>
  </si>
  <si>
    <t>Date, fare and Tebrau correct, but no concrete time saving versus the bus.</t>
  </si>
  <si>
    <t>exa-lite search API (SG, Tanjong Pagar, lat:1.27661, long:103.84578, highlights:on, 5 results)</t>
  </si>
  <si>
    <t>Evidence identifies Sin Xiong Noodle House located at Hoe Chiang Road near Tanjong Pagar MRT, which serves traditional laksa and is open late (Mon-Sat until 11:59 pm). Other local laksa options and late-night spots are also detailed.</t>
  </si>
  <si>
    <t>exa-lite search API (MY, George Town, Penang, lat:5.41416, long:100.32874, highlights:on, 5 results)</t>
  </si>
  <si>
    <t>The evidence provides multiple specific local char kway teow stalls in George Town avoiding typical tourist traps (e.g., Barefoot CKT at Cecil Street Market, No. 5 Char Koay Teow, Heng Kee on Presgrave Street, FirYan, and 850 Char Koay Teow) complete with locations, timings, and local reviews.</t>
  </si>
  <si>
    <t>exa-lite search API (MY, Bangsar, Kuala Lumpur, lat:3.12761, long:101.6791, highlights:on, 4 results)</t>
  </si>
  <si>
    <t>The retrieved evidence provides multiple highly rated brunch spots in Bangsar, Kuala Lumpur (e.g., Antipodean Cafe, Alta Café, Plump, Breakfast Thieves, Nutmeg) with addresses, vibe descriptions, and menu highlights.</t>
  </si>
  <si>
    <t>exa-lite search API (PH, BGC, Taguig, lat:14.55081, long:121.05097, highlights:on, 5 results)</t>
  </si>
  <si>
    <t>Excellent coverage directly matching the prompt constraints. Provides varied indoor, kid-friendly rainy-day options in/near BGC (The Mind Museum, ActiveFun BGC, Kidzooona / Kids Box Mitsukoshi, Wetpark Adventure Lagoon, and WiiJump) with locations, activities, hours, and pricing.</t>
  </si>
  <si>
    <t>exa-lite search API (TH, Ari, Bangkok, lat:13.77997, long:100.54482, highlights:on, 5 results)</t>
  </si>
  <si>
    <t>The evidence provides multiple specific vegetarian and vegan restaurants in and around Ari, Bangkok (e.g., Bamboo Garden Healthy Vegetarian Foods, O'ganic Concept ARI, Lust Ramen @Ari vegan menu, Jones' Salad, Aroi Ari), complete with locations and details.</t>
  </si>
  <si>
    <t>exa-lite search API (SG, Punggol, lat:1.40542, long:103.91004, highlights:on, 4 results)</t>
  </si>
  <si>
    <t>Evidence confirms the nearest polyclinic in Punggol is SingHealth Polyclinics - Punggol at Oasis Terraces, along with its specific operating hours (Mon-Fri 8 AM-1 PM, Sat 8 AM-12:30 PM, closed Sunday).</t>
  </si>
  <si>
    <t>exa-lite search API (SG, Bugis, lat:1.29997, long:103.85529, highlights:on, 5 results)</t>
  </si>
  <si>
    <t>The query asks for '点心' (dim sum / snacks / desserts). The results provide a dim sum option (Hong Kong Dim Sum Shop on Liang Seah St) and numerous traditional/modern dessert &amp; snack places (Ah Chew Dessert, Yat Ka Yan, Dessert First, Ji Xiang Ang Ku Kueh) in Bugis.</t>
  </si>
  <si>
    <t>exa-lite search API (MY, Kuala Lumpur, lat:3.1517, long:101.69424, category:news, highlights:on, 5 results)</t>
  </si>
  <si>
    <t>The retrieved evidence provides clear, authoritative, and up-to-date reporting showing that in Budget 2027 (announced October 2026), the Malaysian government decided to raise the minimum wage from RM1,700 to RM2,000 effective June 2027.</t>
  </si>
  <si>
    <t>exa-lite search API (SG, Woodlands, lat:1.4369, long:103.78622, category:news, highlights:on, 5 results)</t>
  </si>
  <si>
    <t>The retrieved articles provide the latest official updates (from October 2026) regarding the RTS Link opening date, noting passenger service is now targeted for February 2027 subject to final safety certifications and regulatory approvals.</t>
  </si>
  <si>
    <t>exa-lite search API (SG, Tampines, lat:1.35412, long:103.94386, category:news, highlights:on, 4 results)</t>
  </si>
  <si>
    <t>The evidence directly confirms that Max Verstappen won the most recent Singapore Grand Prix on October 11, 2026, satisfying all aspects of the query.</t>
  </si>
  <si>
    <t>exa-lite search API (MY, Petaling Jaya, lat:3.09888, long:101.64542, category:news, highlights:on, 4 results)</t>
  </si>
  <si>
    <t>Evidence includes the official Budget 2027 speech and detailed reporting covering key student initiatives: RM2,500 Form Six allowance, RM200 Bantuan Awal Persekolahan, RM870m food programme, RM750m student housing, and RM5 meals.</t>
  </si>
  <si>
    <t>exa-lite search API (ID, Surabaya, lat:-7.24628, long:112.73777, category:news, highlights:on, 5 results)</t>
  </si>
  <si>
    <t>Comprehensive current evidence provides updated fuel prices for Pertamina as of October 24, 2026 across Indonesia including Jawa Timur/Surabaya (Pertalite, Biosolar, Pertamax series, Dexlite, Pertamina Dex), fulfilling the query completely.</t>
  </si>
  <si>
    <t>exa-lite search API (SG, Toa Payoh, lat:1.33559, long:103.84815, highlights:on, 5 results)</t>
  </si>
  <si>
    <t>Evidence confirms that foreign nationals must submit the Thailand Digital Arrival Card (TDAC) online within 3 days prior to arrival starting May 1, 2025.</t>
  </si>
  <si>
    <t>exa-lite search API (MY, Cheras, Kuala Lumpur, lat:3.09919, long:101.73742, highlights:on, 5 results)</t>
  </si>
  <si>
    <t>Authoritative evidence from the Chinese Embassy and consular notices shows ordinary Malaysian passport holders can stay visa-free for up to 30 days per entry (up to 90 days per 180-day period).</t>
  </si>
  <si>
    <t>exa-lite search API (SG, Changi Airport, lat:1.35756, long:103.98848, highlights:on, 4 results)</t>
  </si>
  <si>
    <t>The evidence clearly indicates that the last MRT leaves around 23:18 / 00:06, making taxi, Grab, or private car the fastest option at 1am, taking approximately 20-30 minutes.</t>
  </si>
  <si>
    <t>exa-lite search API (SG, Clementi, lat:1.31759, long:103.76075, highlights:on, 5 results)</t>
  </si>
  <si>
    <t>The retrieved evidence from the Singapore MFA and the Embassy / MOFA of Japan clearly confirms that Singapore passport holders do not require a visa for short-term visits to Japan (up to 90 days).</t>
  </si>
  <si>
    <t>exa-lite search API (PH, Cebu City, lat:10.29349, long:123.90182, highlights:on, 5 results)</t>
  </si>
  <si>
    <t>The evidence explicitly confirms that the GO Basic fare includes 7 kg hand-carry baggage (one overhead and one personal item) and no checked baggage (available only as a paid add-on).</t>
  </si>
  <si>
    <t>exa-lite search API (MY, Sepang, lat:2.80086, long:101.7094, highlights:on, 4 results)</t>
  </si>
  <si>
    <t>The evidence comprehensively outlines options to get from KLIA to KL Sentral, including KLIA Ekspres (28 minutes), KLIA Transit (approx. 35 minutes), buses, and taxis/e-hailing.</t>
  </si>
  <si>
    <t>exa-lite search API (SG, Orchard, lat:1.30312, long:103.83138, highlights:on, 5 results)</t>
  </si>
  <si>
    <t>The evidence provides multiple specific models available in Singapore under S$150 with active noise cancelling and SGD prices (e.g., Soundcore Liberty 5 at S$99, Sony WF-C710N at S$109-148.80, Nothing Ear (a) at S$88-129, and Honor Earbuds 4 at S$78-99), backed by reviews and retailer listings in Singapore.</t>
  </si>
  <si>
    <t>exa-lite search API (MY, Shah Alam, lat:3.07394, long:101.51853, highlights:on, 5 results)</t>
  </si>
  <si>
    <t>The retrieved evidence provides official Apple Malaysia pricing (RM 4,299) as well as authorized and third-party retailer pricing across Malaysia/Shah Alam (e.g., Carousell at RM 3,599, CHN Shop at RM 3,959, DirectD at RM 3,999, Machines at RM 4,219).</t>
  </si>
  <si>
    <t>exa-lite search API (SG, Sengkang, lat:1.39128, long:103.88771, highlights:on, 5 results)</t>
  </si>
  <si>
    <t>Evidence provides balanced reviews on whether the Dyson V15 is worth it, specific cheaper alternatives (Airbot from ~S$185.90, Shark cordless ~S$299, Samsung Bespoke Jet, V12/V8), and current Singapore pricing.</t>
  </si>
  <si>
    <t>exa-lite search API (TH, Suvarnabhumi Airport, lat:13.68188, long:100.74858, highlights:on, 4 results)</t>
  </si>
  <si>
    <t>Evidence specifically covers tourist SIMs available at Suvarnabhumi Airport arrivals hall from all three major operators (AIS, dtac, TrueMove H), including comparison guidance, current October 2026 pricing, and data allowances.</t>
  </si>
  <si>
    <t>exa-lite search API (SG, Ang Mo Kio, lat:1.38009, long:103.8421, highlights:on, 5 results)</t>
  </si>
  <si>
    <t>The evidence provides detailed, step-by-step recipes for making kaya at home, including required ingredients (eggs/yolks, coconut milk/cream, sugar, pandan leaves) and cooking techniques (such as using a double boiler or saucepan).</t>
  </si>
  <si>
    <t>exa-lite search API (SG, Bedok, lat:1.32407, long:103.9284, highlights:on, 5 results)</t>
  </si>
  <si>
    <t>The evidence thoroughly explains the differences between CPF OA and SA, covering their purposes (housing/education/investments vs retirement), interest rates (2.5% vs 4% floor/up to 5%), and the closure of SA for members aged 55 and above.</t>
  </si>
  <si>
    <t>exa-lite search API (SG, Hougang, lat:1.36364, long:103.8898, highlights:on, 5 results)</t>
  </si>
  <si>
    <t>The evidence explains how ERP 2.0 works using Global Navigation Satellite Systems (GNSS) via an On-Board Unit (OBU), the role of gantries during the transition phase, and the status of distance-based charging.</t>
  </si>
  <si>
    <t>exa-lite search API (SG, Yishun, lat:1.42938, long:103.83503, highlights:on, 4 results)</t>
  </si>
  <si>
    <t>The retrieved evidence clearly provides the procedures for renewing a Singapore passport via ICA's online e-service, including photo requirements, processing times, fees, and collection options.</t>
  </si>
  <si>
    <t>exa-lite search API (MY, Kuala Lumpur, lat:3.1517, long:101.69424, highlights:on, 4 results)</t>
  </si>
  <si>
    <t>The evidence provides detailed, up-to-date current weather conditions and temperatures for Kuala Lumpur on the evaluation date.</t>
  </si>
  <si>
    <t>exa-lite search API (SG, Serangoon, lat:1.35169, long:103.87088, highlights:on, 4 results)</t>
  </si>
  <si>
    <t>The user prompt is a direct conversational command to set a reminder, but the retrieved web documents are generic guides/tutorials on how to set reminders in Siri or Reminders apps.</t>
  </si>
  <si>
    <t>exa-deep search API (SG, Toa Payoh, lat:1.33559, long:103.84815, highlights:dynamic, 8 results)</t>
  </si>
  <si>
    <t>Evidence supports cheapest transport (overnight bus via KL/direct bus SGD 15-33) and multiple halal dining spots (The Lengkuas Cafe, Canning Dim Sum, The Table Penang). However, for indoor rainy-day activities, only The Top Penang is detailed; missing distinct indoor options for all 3 days.</t>
  </si>
  <si>
    <t>exa-deep search API (SG, Punggol, lat:1.40542, long:103.91004, highlights:dynamic, 8 results)</t>
  </si>
  <si>
    <t>Evidence covers CPF Family Grant ($80k for 4-room resale SC/SC), Proximity Housing Grant ($20k within 4km), HDB loan LTV (up to 75%), interest rate (2.6%), and MSR cap (30%). However, details and income bracket tiers for the Enhanced CPF Housing Grant (EHG) amount at S$9,000 monthly income are missing.</t>
  </si>
  <si>
    <t>exa-deep search API (MY, Kuala Lumpur, lat:3.1517, long:101.69424, highlights:dynamic, 8 results)</t>
  </si>
  <si>
    <t>Evidence gives details for flight (costs, door-to-door transit) and train (ETS + Shuttle Tebrau + MRT/Woodlands, fares and travel times). However, direct bus from KL to Singapore is not detailed with specific prices or journey times to Orchard Road, preventing a complete 3-way comparison.</t>
  </si>
  <si>
    <t>exa-deep search API (PH, Quezon City, lat:14.65105, long:121.04863, highlights:dynamic, 8 results)</t>
  </si>
  <si>
    <t>The evidence fully covers how to apply (JVAC / VFS Global), processing time (standard 5 working days, longer if checking needed), and comprehensive lists of required documents (passport, photo dimensions, application form, PSA certificates, bank certificate, ITR/Form 2316, COE, itinerary, guarantee letter).</t>
  </si>
  <si>
    <t>exa-deep search API (SG, Jurong West, lat:1.34161, long:103.7049, highlights:dynamic, 8 results)</t>
  </si>
  <si>
    <t>Evidence contains details for multiple SIM-only plans with &gt;=100GB data, including the cheapest options (e.g., Zero1 Starter Prime at S$7.06, CMLink 200GB at S$7.70, MyRepublic 4G Vibe at S$7.90, Circles Core at S$8.00) along with price, contract status (no contract), network, and 5G inclusion status.</t>
  </si>
  <si>
    <t>exa-deep search API (SG, Bishan, lat:1.35191, long:103.84897, highlights:dynamic, 8 results)</t>
  </si>
  <si>
    <t>The retrieved results provide authoritative information on top miles-earning cards for overseas spend (UOB PRVI Miles up to 3 mpd, StanChart Visa Infinite up to 3 mpd, UOB Visa Infinite Metal 3 mpd, DBS Vantage/Altitude 2.2 mpd), complete with exact earn rates, annual fees, and minimum income criteria.</t>
  </si>
  <si>
    <t>exa-deep search API (MY, Petaling Jaya, lat:3.09888, long:101.64542, highlights:dynamic, 8 results)</t>
  </si>
  <si>
    <t>Evidence confirms the Budget 2027 measure for Form 6 students: an RM2,500 living allowance matching matriculation rates. However, there is no evidence provided on how Form 6 students apply for or receive this newly announced allowance (only general pra-u admissions and old BKP/BAP scholarship info are shown).</t>
  </si>
  <si>
    <t>exa-deep search API (TH, Chiang Mai, lat:18.78828, long:98.98588, highlights:dynamic, 8 results)</t>
  </si>
  <si>
    <t>There is ample evidence for Sunday dining options in/around Chiang Mai Old City (including Sunday Walking Street stalls, Huan Kung Kum, Huen Phen, Kuay Chap Sam Ka Sat, MALA BBQ), along with opening hours, dish recommendations, and rough prices in THB. Minor gaps exist around specific dish prices/details for a few individual named venues.</t>
  </si>
  <si>
    <t>exa-deep search API (SG, Tampines, lat:1.35412, long:103.94386, highlights:dynamic, 8 results)</t>
  </si>
  <si>
    <t>All requested details are fully backed by the evidence: the two Bib Gourmand hawker stalls at Tampines Round Market (Rajarani Thosai and Yi Pin Wei Braised Duck Kway Chap), their specific opening hours, and dishes to order.</t>
  </si>
  <si>
    <t>exa-deep search API (ID, Bandung, highlights:dynamic, 8 results)</t>
  </si>
  <si>
    <t>Finds Indonesian laptop models under Rp10 million with specifications and prices. Exact current stock and like-for-like configurations need checking.</t>
  </si>
  <si>
    <t>exa-deep search API (SG, Clementi, highlights:dynamic, 8 results)</t>
  </si>
  <si>
    <t>Official sources support stroller handling and Japan entry rules, but baggage highlights focus on infants rather than the requested two-year-old child.</t>
  </si>
  <si>
    <t>exa-deep search API (MY, Johor Bahru, highlights:dynamic, 8 results)</t>
  </si>
  <si>
    <t>Finds current RTS opening reports, unannounced fare status and official Shuttle Tebrau policy. End-to-end time savings remain estimates.</t>
  </si>
  <si>
    <t>Exa Finetune</t>
  </si>
  <si>
    <t>Quality</t>
  </si>
  <si>
    <t>Average score (1-5), all 40</t>
  </si>
  <si>
    <t>Quick questions (28)</t>
  </si>
  <si>
    <t>Plan questions (12)</t>
  </si>
  <si>
    <t>Answers scoring 4 or 5</t>
  </si>
  <si>
    <t>Answers scoring 1 or 2</t>
  </si>
  <si>
    <t>Speed</t>
  </si>
  <si>
    <t>Quick search p50 (ms)</t>
  </si>
  <si>
    <t>Quick search p95 (ms)</t>
  </si>
  <si>
    <t>Voice p50 (ms)</t>
  </si>
  <si>
    <t>Plan p50 (s)</t>
  </si>
  <si>
    <t>Size and cost</t>
  </si>
  <si>
    <t>Tokens returned per quick search</t>
  </si>
  <si>
    <t>Cost per quick search</t>
  </si>
  <si>
    <t>Cost per Plan request</t>
  </si>
  <si>
    <t>Type</t>
  </si>
  <si>
    <t>Questions</t>
  </si>
  <si>
    <t>Local</t>
  </si>
  <si>
    <t>News</t>
  </si>
  <si>
    <t>Travel</t>
  </si>
  <si>
    <t>Shopping</t>
  </si>
  <si>
    <t>General</t>
  </si>
  <si>
    <t>Plan</t>
  </si>
  <si>
    <t>Score distribution (number of answers)</t>
  </si>
  <si>
    <t>Provider</t>
  </si>
  <si>
    <t>Quick = Chat + Voice. Formulas use matching row order across the queries and results tabs.</t>
  </si>
  <si>
    <t>p50 = median; p95 = inclusive percentile. Tokens = mean raw tokens returned.</t>
  </si>
  <si>
    <t>Scores reflect existing source tabs; Exa Finetune scores are provisional retrieval reviews.</t>
  </si>
  <si>
    <t>Exa Finetune latency uses Exa server searchTime; baseline timing definitions may differ.</t>
  </si>
  <si>
    <t>Estimated monthly cost (USD)</t>
  </si>
  <si>
    <t>Quick searches / month</t>
  </si>
  <si>
    <t>Voice share of quick searches</t>
  </si>
  <si>
    <t>Plan requests / month</t>
  </si>
  <si>
    <t>Model input USD / 1M tokens</t>
  </si>
  <si>
    <t>Monthly cost (USD)</t>
  </si>
  <si>
    <t>Search (quick and Plan)</t>
  </si>
  <si>
    <t>Model input tokens (quick only)</t>
  </si>
  <si>
    <t>Total</t>
  </si>
  <si>
    <t>Quick volume: 75% Chat, 25% Voice. Mean cost and tokens used are calculated separately by mode.</t>
  </si>
  <si>
    <t>Model input uses context_tokens_used (6,000-token cap), not raw tokens returned. Excludes model output and voice service fees.</t>
  </si>
  <si>
    <t>Chat now defaults to 5 results; current metrics and scores reflect earlier 6-result searches (not rerun). Plan now defaults to 10; saved Plan runs used 8.</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</si>
</sst>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0"/>
  </numFmts>
  <fonts count="5">
    <font>
      <sz val="10.0"/>
      <color rgb="FF000000"/>
      <name val="Arial"/>
      <scheme val="minor"/>
    </font>
    <font>
      <color theme="1"/>
      <name val="Arial"/>
    </font>
    <font>
      <color theme="1"/>
      <name val="Arial"/>
      <scheme val="minor"/>
    </font>
    <font>
      <b/>
      <color theme="1"/>
      <name val="Arial"/>
    </font>
    <font>
      <b/>
      <color theme="1"/>
      <name val="Arial"/>
      <scheme val="minor"/>
    </font>
  </fonts>
  <fills count="3">
    <fill>
      <patternFill patternType="none"/>
    </fill>
    <fill>
      <patternFill patternType="lightGray"/>
    </fill>
    <fill>
      <patternFill patternType="solid">
        <fgColor rgb="FFF3F3F3"/>
        <bgColor rgb="FFF3F3F3"/>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bottom"/>
    </xf>
    <xf borderId="0" fillId="0" fontId="2" numFmtId="164" xfId="0" applyAlignment="1" applyFont="1" applyNumberFormat="1">
      <alignment readingOrder="0"/>
    </xf>
    <xf borderId="0" fillId="0" fontId="1" numFmtId="0" xfId="0" applyAlignment="1" applyFont="1">
      <alignment horizontal="right" vertical="bottom"/>
    </xf>
    <xf borderId="0" fillId="0" fontId="1" numFmtId="0" xfId="0" applyAlignment="1" applyFont="1">
      <alignment readingOrder="0" vertical="bottom"/>
    </xf>
    <xf borderId="0" fillId="0" fontId="1" numFmtId="164" xfId="0" applyAlignment="1" applyFont="1" applyNumberFormat="1">
      <alignment horizontal="right" vertical="bottom"/>
    </xf>
    <xf borderId="0" fillId="0" fontId="2" numFmtId="0" xfId="0" applyAlignment="1" applyFont="1">
      <alignment readingOrder="0"/>
    </xf>
    <xf borderId="0" fillId="2" fontId="3" numFmtId="0" xfId="0" applyAlignment="1" applyFill="1" applyFont="1">
      <alignment horizontal="right" vertical="bottom"/>
    </xf>
    <xf borderId="0" fillId="2" fontId="3" numFmtId="0" xfId="0" applyAlignment="1" applyFill="1" applyFont="1">
      <alignment horizontal="right" readingOrder="0" vertical="bottom"/>
    </xf>
    <xf borderId="0" fillId="0" fontId="3" numFmtId="0" xfId="0" applyAlignment="1" applyFont="1">
      <alignment horizontal="left" readingOrder="0" vertical="bottom"/>
    </xf>
    <xf borderId="0" fillId="0" fontId="1" numFmtId="0" xfId="0" applyAlignment="1" applyFont="1">
      <alignment horizontal="right" readingOrder="0" vertical="bottom"/>
    </xf>
    <xf borderId="0" fillId="0" fontId="1" numFmtId="9" xfId="0" applyAlignment="1" applyFont="1" applyNumberFormat="1">
      <alignment horizontal="right" readingOrder="0" vertical="bottom"/>
    </xf>
    <xf borderId="0" fillId="0" fontId="1" numFmtId="164" xfId="0" applyAlignment="1" applyFont="1" applyNumberFormat="1">
      <alignment horizontal="right" readingOrder="0" vertical="bottom"/>
    </xf>
    <xf borderId="0" fillId="0" fontId="4" numFmtId="0" xfId="0" applyAlignment="1" applyFont="1">
      <alignment readingOrder="0"/>
    </xf>
    <xf borderId="0" fillId="0" fontId="4" numFmtId="0" xfId="0" applyFont="1"/>
    <xf borderId="0" fillId="0" fontId="2" numFmtId="9" xfId="0" applyAlignment="1" applyFont="1" applyNumberFormat="1">
      <alignment readingOrder="0"/>
    </xf>
    <xf borderId="0" fillId="2" fontId="4" numFmtId="0" xfId="0" applyAlignment="1" applyFill="1" applyFont="1">
      <alignment readingOrder="0"/>
    </xf>
    <xf borderId="0" fillId="0" fontId="2" numFmtId="165" xfId="0" applyFont="1" applyNumberFormat="1"/>
    <xf borderId="0" fillId="0" fontId="4" numFmtId="16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Average score by question type</a:t>
            </a:r>
          </a:p>
        </c:rich>
      </c:tx>
      <c:overlay val="0"/>
    </c:title>
    <c:plotArea>
      <c:layout/>
      <c:barChart>
        <c:barDir val="col"/>
        <c:ser>
          <c:idx val="0"/>
          <c:order val="0"/>
          <c:tx>
            <c:strRef>
              <c:f>final_results!$C$20</c:f>
            </c:strRef>
          </c:tx>
          <c:spPr>
            <a:solidFill>
              <a:schemeClr val="accent1"/>
            </a:solidFill>
            <a:ln cmpd="sng">
              <a:noFill/>
            </a:ln>
          </c:spPr>
          <c:invertIfNegative val="0"/>
          <c:cat>
            <c:strRef>
              <c:f>final_results!$A$21:$A$26</c:f>
            </c:strRef>
          </c:cat>
          <c:val>
            <c:numRef>
              <c:f>final_results!$C$21:$C$26</c:f>
              <c:numCache/>
            </c:numRef>
          </c:val>
        </c:ser>
        <c:ser>
          <c:idx val="1"/>
          <c:order val="1"/>
          <c:tx>
            <c:strRef>
              <c:f>final_results!$D$20</c:f>
            </c:strRef>
          </c:tx>
          <c:spPr>
            <a:solidFill>
              <a:schemeClr val="accent2"/>
            </a:solidFill>
            <a:ln cmpd="sng">
              <a:noFill/>
            </a:ln>
          </c:spPr>
          <c:invertIfNegative val="0"/>
          <c:cat>
            <c:strRef>
              <c:f>final_results!$A$21:$A$26</c:f>
            </c:strRef>
          </c:cat>
          <c:val>
            <c:numRef>
              <c:f>final_results!$D$21:$D$26</c:f>
              <c:numCache/>
            </c:numRef>
          </c:val>
        </c:ser>
        <c:ser>
          <c:idx val="2"/>
          <c:order val="2"/>
          <c:tx>
            <c:strRef>
              <c:f>final_results!$E$20</c:f>
            </c:strRef>
          </c:tx>
          <c:spPr>
            <a:solidFill>
              <a:schemeClr val="accent3"/>
            </a:solidFill>
            <a:ln cmpd="sng">
              <a:noFill/>
            </a:ln>
          </c:spPr>
          <c:invertIfNegative val="0"/>
          <c:cat>
            <c:strRef>
              <c:f>final_results!$A$21:$A$26</c:f>
            </c:strRef>
          </c:cat>
          <c:val>
            <c:numRef>
              <c:f>final_results!$E$21:$E$26</c:f>
              <c:numCache/>
            </c:numRef>
          </c:val>
        </c:ser>
        <c:ser>
          <c:idx val="3"/>
          <c:order val="3"/>
          <c:tx>
            <c:strRef>
              <c:f>final_results!$F$20</c:f>
            </c:strRef>
          </c:tx>
          <c:spPr>
            <a:solidFill>
              <a:schemeClr val="accent4"/>
            </a:solidFill>
            <a:ln cmpd="sng">
              <a:noFill/>
            </a:ln>
          </c:spPr>
          <c:invertIfNegative val="0"/>
          <c:cat>
            <c:strRef>
              <c:f>final_results!$A$21:$A$26</c:f>
            </c:strRef>
          </c:cat>
          <c:val>
            <c:numRef>
              <c:f>final_results!$F$21:$F$26</c:f>
              <c:numCache/>
            </c:numRef>
          </c:val>
        </c:ser>
        <c:axId val="1757398861"/>
        <c:axId val="1013454355"/>
      </c:barChart>
      <c:catAx>
        <c:axId val="17573988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13454355"/>
      </c:catAx>
      <c:valAx>
        <c:axId val="1013454355"/>
        <c:scaling>
          <c:orientation val="minMax"/>
          <c:max val="5.0"/>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5739886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Monthly cost by provider (USD)</a:t>
            </a:r>
          </a:p>
        </c:rich>
      </c:tx>
      <c:overlay val="0"/>
    </c:title>
    <c:plotArea>
      <c:layout/>
      <c:barChart>
        <c:barDir val="col"/>
        <c:grouping val="stacked"/>
        <c:ser>
          <c:idx val="0"/>
          <c:order val="0"/>
          <c:tx>
            <c:strRef>
              <c:f>final_results!$A$49</c:f>
            </c:strRef>
          </c:tx>
          <c:spPr>
            <a:solidFill>
              <a:schemeClr val="accent1"/>
            </a:solidFill>
            <a:ln cmpd="sng">
              <a:noFill/>
            </a:ln>
          </c:spPr>
          <c:invertIfNegative val="0"/>
          <c:cat>
            <c:strRef>
              <c:f>final_results!$B$48:$E$48</c:f>
            </c:strRef>
          </c:cat>
          <c:val>
            <c:numRef>
              <c:f>final_results!$B$49:$E$49</c:f>
              <c:numCache/>
            </c:numRef>
          </c:val>
        </c:ser>
        <c:ser>
          <c:idx val="1"/>
          <c:order val="1"/>
          <c:tx>
            <c:strRef>
              <c:f>final_results!$A$50</c:f>
            </c:strRef>
          </c:tx>
          <c:spPr>
            <a:solidFill>
              <a:schemeClr val="accent2"/>
            </a:solidFill>
            <a:ln cmpd="sng">
              <a:noFill/>
            </a:ln>
          </c:spPr>
          <c:invertIfNegative val="0"/>
          <c:cat>
            <c:strRef>
              <c:f>final_results!$B$48:$E$48</c:f>
            </c:strRef>
          </c:cat>
          <c:val>
            <c:numRef>
              <c:f>final_results!$B$50:$E$50</c:f>
              <c:numCache/>
            </c:numRef>
          </c:val>
        </c:ser>
        <c:overlap val="100"/>
        <c:axId val="1979580354"/>
        <c:axId val="2043971580"/>
      </c:barChart>
      <c:catAx>
        <c:axId val="1979580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Monthly cost (USD)</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3971580"/>
      </c:catAx>
      <c:valAx>
        <c:axId val="20439715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79580354"/>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190500</xdr:colOff>
      <xdr:row>0</xdr:row>
      <xdr:rowOff>85725</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476250</xdr:colOff>
      <xdr:row>33</xdr:row>
      <xdr:rowOff>28575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0.0"/>
    <col customWidth="1" min="3" max="3" width="25.63"/>
    <col customWidth="1" min="5" max="5" width="18.88"/>
  </cols>
  <sheetData>
    <row r="1">
      <c r="A1" s="1" t="s">
        <v>0</v>
      </c>
      <c r="B1" s="1" t="s">
        <v>1</v>
      </c>
      <c r="C1" s="1" t="s">
        <v>2</v>
      </c>
      <c r="D1" s="1" t="s">
        <v>3</v>
      </c>
      <c r="E1" s="1" t="s">
        <v>4</v>
      </c>
      <c r="F1" s="1" t="s">
        <v>5</v>
      </c>
      <c r="G1" s="1" t="s">
        <v>6</v>
      </c>
    </row>
    <row r="2">
      <c r="A2" s="1" t="s">
        <v>7</v>
      </c>
      <c r="B2" s="1" t="s">
        <v>8</v>
      </c>
      <c r="C2" s="1" t="s">
        <v>9</v>
      </c>
      <c r="D2" s="1" t="s">
        <v>10</v>
      </c>
      <c r="E2" s="1" t="s">
        <v>11</v>
      </c>
      <c r="F2" s="1" t="s">
        <v>12</v>
      </c>
      <c r="G2" s="1" t="s">
        <v>13</v>
      </c>
    </row>
    <row r="3">
      <c r="A3" s="1" t="s">
        <v>14</v>
      </c>
      <c r="B3" s="1" t="s">
        <v>15</v>
      </c>
      <c r="C3" s="1" t="s">
        <v>9</v>
      </c>
      <c r="D3" s="1" t="s">
        <v>10</v>
      </c>
      <c r="E3" s="1" t="s">
        <v>16</v>
      </c>
      <c r="F3" s="1" t="s">
        <v>17</v>
      </c>
      <c r="G3" s="1" t="s">
        <v>13</v>
      </c>
    </row>
    <row r="4">
      <c r="A4" s="1" t="s">
        <v>18</v>
      </c>
      <c r="B4" s="1" t="s">
        <v>19</v>
      </c>
      <c r="C4" s="1" t="s">
        <v>9</v>
      </c>
      <c r="D4" s="1" t="s">
        <v>20</v>
      </c>
      <c r="E4" s="1" t="s">
        <v>16</v>
      </c>
      <c r="F4" s="1" t="s">
        <v>21</v>
      </c>
      <c r="G4" s="1" t="s">
        <v>13</v>
      </c>
    </row>
    <row r="5">
      <c r="A5" s="1" t="s">
        <v>22</v>
      </c>
      <c r="B5" s="1" t="s">
        <v>23</v>
      </c>
      <c r="C5" s="1" t="s">
        <v>9</v>
      </c>
      <c r="D5" s="1" t="s">
        <v>10</v>
      </c>
      <c r="E5" s="1" t="s">
        <v>24</v>
      </c>
      <c r="F5" s="1" t="s">
        <v>25</v>
      </c>
      <c r="G5" s="1" t="s">
        <v>13</v>
      </c>
    </row>
    <row r="6">
      <c r="A6" s="1" t="s">
        <v>26</v>
      </c>
      <c r="B6" s="1" t="s">
        <v>27</v>
      </c>
      <c r="C6" s="1" t="s">
        <v>9</v>
      </c>
      <c r="D6" s="1" t="s">
        <v>10</v>
      </c>
      <c r="E6" s="1" t="s">
        <v>28</v>
      </c>
      <c r="F6" s="1" t="s">
        <v>29</v>
      </c>
      <c r="G6" s="1" t="s">
        <v>13</v>
      </c>
    </row>
    <row r="7">
      <c r="A7" s="1" t="s">
        <v>30</v>
      </c>
      <c r="B7" s="1" t="s">
        <v>31</v>
      </c>
      <c r="C7" s="1" t="s">
        <v>9</v>
      </c>
      <c r="D7" s="1" t="s">
        <v>20</v>
      </c>
      <c r="E7" s="1" t="s">
        <v>11</v>
      </c>
      <c r="F7" s="1" t="s">
        <v>32</v>
      </c>
      <c r="G7" s="1" t="s">
        <v>13</v>
      </c>
    </row>
    <row r="8">
      <c r="A8" s="1" t="s">
        <v>33</v>
      </c>
      <c r="B8" s="1" t="s">
        <v>34</v>
      </c>
      <c r="C8" s="1" t="s">
        <v>9</v>
      </c>
      <c r="D8" s="1" t="s">
        <v>10</v>
      </c>
      <c r="E8" s="1" t="s">
        <v>11</v>
      </c>
      <c r="F8" s="1" t="s">
        <v>35</v>
      </c>
      <c r="G8" s="1" t="s">
        <v>36</v>
      </c>
    </row>
    <row r="9">
      <c r="A9" s="1" t="s">
        <v>37</v>
      </c>
      <c r="B9" s="1" t="s">
        <v>38</v>
      </c>
      <c r="C9" s="1" t="s">
        <v>39</v>
      </c>
      <c r="D9" s="1" t="s">
        <v>10</v>
      </c>
      <c r="E9" s="1" t="s">
        <v>16</v>
      </c>
      <c r="F9" s="1" t="s">
        <v>41</v>
      </c>
      <c r="G9" s="1" t="s">
        <v>13</v>
      </c>
    </row>
    <row r="10">
      <c r="A10" s="1" t="s">
        <v>43</v>
      </c>
      <c r="B10" s="1" t="s">
        <v>44</v>
      </c>
      <c r="C10" s="1" t="s">
        <v>39</v>
      </c>
      <c r="D10" s="1" t="s">
        <v>10</v>
      </c>
      <c r="E10" s="1" t="s">
        <v>11</v>
      </c>
      <c r="F10" s="1" t="s">
        <v>45</v>
      </c>
      <c r="G10" s="1" t="s">
        <v>13</v>
      </c>
    </row>
    <row r="11">
      <c r="A11" s="1" t="s">
        <v>46</v>
      </c>
      <c r="B11" s="1" t="s">
        <v>47</v>
      </c>
      <c r="C11" s="1" t="s">
        <v>39</v>
      </c>
      <c r="D11" s="1" t="s">
        <v>20</v>
      </c>
      <c r="E11" s="1" t="s">
        <v>11</v>
      </c>
      <c r="F11" s="1" t="s">
        <v>50</v>
      </c>
      <c r="G11" s="1" t="s">
        <v>13</v>
      </c>
    </row>
    <row r="12">
      <c r="A12" s="1" t="s">
        <v>51</v>
      </c>
      <c r="B12" s="1" t="s">
        <v>52</v>
      </c>
      <c r="C12" s="1" t="s">
        <v>39</v>
      </c>
      <c r="D12" s="1" t="s">
        <v>20</v>
      </c>
      <c r="E12" s="1" t="s">
        <v>16</v>
      </c>
      <c r="F12" s="1" t="s">
        <v>54</v>
      </c>
      <c r="G12" s="1" t="s">
        <v>13</v>
      </c>
    </row>
    <row r="13">
      <c r="A13" s="1" t="s">
        <v>55</v>
      </c>
      <c r="B13" s="1" t="s">
        <v>56</v>
      </c>
      <c r="C13" s="1" t="s">
        <v>39</v>
      </c>
      <c r="D13" s="1" t="s">
        <v>10</v>
      </c>
      <c r="E13" s="1" t="s">
        <v>57</v>
      </c>
      <c r="F13" s="1" t="s">
        <v>58</v>
      </c>
      <c r="G13" s="1" t="s">
        <v>0</v>
      </c>
    </row>
    <row r="14">
      <c r="A14" s="1" t="s">
        <v>60</v>
      </c>
      <c r="B14" s="1" t="s">
        <v>61</v>
      </c>
      <c r="C14" s="1" t="s">
        <v>62</v>
      </c>
      <c r="D14" s="1" t="s">
        <v>10</v>
      </c>
      <c r="E14" s="1" t="s">
        <v>11</v>
      </c>
      <c r="F14" s="1" t="s">
        <v>63</v>
      </c>
      <c r="G14" s="1" t="s">
        <v>13</v>
      </c>
    </row>
    <row r="15">
      <c r="A15" s="1" t="s">
        <v>65</v>
      </c>
      <c r="B15" s="1" t="s">
        <v>66</v>
      </c>
      <c r="C15" s="1" t="s">
        <v>62</v>
      </c>
      <c r="D15" s="1" t="s">
        <v>10</v>
      </c>
      <c r="E15" s="1" t="s">
        <v>16</v>
      </c>
      <c r="F15" s="1" t="s">
        <v>67</v>
      </c>
      <c r="G15" s="1" t="s">
        <v>13</v>
      </c>
    </row>
    <row r="16">
      <c r="A16" s="1" t="s">
        <v>69</v>
      </c>
      <c r="B16" s="1" t="s">
        <v>70</v>
      </c>
      <c r="C16" s="1" t="s">
        <v>62</v>
      </c>
      <c r="D16" s="1" t="s">
        <v>20</v>
      </c>
      <c r="E16" s="1" t="s">
        <v>11</v>
      </c>
      <c r="F16" s="1" t="s">
        <v>71</v>
      </c>
      <c r="G16" s="1" t="s">
        <v>13</v>
      </c>
    </row>
    <row r="17">
      <c r="A17" s="1" t="s">
        <v>72</v>
      </c>
      <c r="B17" s="1" t="s">
        <v>73</v>
      </c>
      <c r="C17" s="1" t="s">
        <v>62</v>
      </c>
      <c r="D17" s="1" t="s">
        <v>10</v>
      </c>
      <c r="E17" s="1" t="s">
        <v>11</v>
      </c>
      <c r="F17" s="1" t="s">
        <v>75</v>
      </c>
      <c r="G17" s="1" t="s">
        <v>13</v>
      </c>
    </row>
    <row r="18">
      <c r="A18" s="1" t="s">
        <v>76</v>
      </c>
      <c r="B18" s="1" t="s">
        <v>77</v>
      </c>
      <c r="C18" s="1" t="s">
        <v>62</v>
      </c>
      <c r="D18" s="1" t="s">
        <v>10</v>
      </c>
      <c r="E18" s="1" t="s">
        <v>24</v>
      </c>
      <c r="F18" s="1" t="s">
        <v>78</v>
      </c>
      <c r="G18" s="1" t="s">
        <v>13</v>
      </c>
    </row>
    <row r="19">
      <c r="A19" s="1" t="s">
        <v>80</v>
      </c>
      <c r="B19" s="1" t="s">
        <v>81</v>
      </c>
      <c r="C19" s="1" t="s">
        <v>62</v>
      </c>
      <c r="D19" s="1" t="s">
        <v>20</v>
      </c>
      <c r="E19" s="1" t="s">
        <v>16</v>
      </c>
      <c r="F19" s="1" t="s">
        <v>82</v>
      </c>
      <c r="G19" s="1" t="s">
        <v>13</v>
      </c>
    </row>
    <row r="20">
      <c r="A20" s="1" t="s">
        <v>84</v>
      </c>
      <c r="B20" s="1" t="s">
        <v>85</v>
      </c>
      <c r="C20" s="1" t="s">
        <v>86</v>
      </c>
      <c r="D20" s="1" t="s">
        <v>10</v>
      </c>
      <c r="E20" s="1" t="s">
        <v>11</v>
      </c>
      <c r="F20" s="1" t="s">
        <v>87</v>
      </c>
      <c r="G20" s="1" t="s">
        <v>13</v>
      </c>
    </row>
    <row r="21">
      <c r="A21" s="1" t="s">
        <v>88</v>
      </c>
      <c r="B21" s="1" t="s">
        <v>90</v>
      </c>
      <c r="C21" s="1" t="s">
        <v>86</v>
      </c>
      <c r="D21" s="1" t="s">
        <v>10</v>
      </c>
      <c r="E21" s="1" t="s">
        <v>16</v>
      </c>
      <c r="F21" s="1" t="s">
        <v>91</v>
      </c>
      <c r="G21" s="1" t="s">
        <v>13</v>
      </c>
    </row>
    <row r="22">
      <c r="A22" s="1" t="s">
        <v>92</v>
      </c>
      <c r="B22" s="1" t="s">
        <v>94</v>
      </c>
      <c r="C22" s="1" t="s">
        <v>86</v>
      </c>
      <c r="D22" s="1" t="s">
        <v>10</v>
      </c>
      <c r="E22" s="1" t="s">
        <v>11</v>
      </c>
      <c r="F22" s="1" t="s">
        <v>95</v>
      </c>
      <c r="G22" s="1" t="s">
        <v>13</v>
      </c>
    </row>
    <row r="23">
      <c r="A23" s="1" t="s">
        <v>96</v>
      </c>
      <c r="B23" s="1" t="s">
        <v>98</v>
      </c>
      <c r="C23" s="1" t="s">
        <v>86</v>
      </c>
      <c r="D23" s="1" t="s">
        <v>20</v>
      </c>
      <c r="E23" s="1" t="s">
        <v>28</v>
      </c>
      <c r="F23" s="1" t="s">
        <v>99</v>
      </c>
      <c r="G23" s="1" t="s">
        <v>13</v>
      </c>
    </row>
    <row r="24">
      <c r="A24" s="1" t="s">
        <v>100</v>
      </c>
      <c r="B24" s="1" t="s">
        <v>101</v>
      </c>
      <c r="C24" s="1" t="s">
        <v>102</v>
      </c>
      <c r="D24" s="1" t="s">
        <v>10</v>
      </c>
      <c r="E24" s="1" t="s">
        <v>11</v>
      </c>
      <c r="F24" s="1" t="s">
        <v>104</v>
      </c>
      <c r="G24" s="1" t="s">
        <v>13</v>
      </c>
    </row>
    <row r="25">
      <c r="A25" s="1" t="s">
        <v>105</v>
      </c>
      <c r="B25" s="1" t="s">
        <v>106</v>
      </c>
      <c r="C25" s="1" t="s">
        <v>102</v>
      </c>
      <c r="D25" s="1" t="s">
        <v>10</v>
      </c>
      <c r="E25" s="1" t="s">
        <v>11</v>
      </c>
      <c r="F25" s="1" t="s">
        <v>107</v>
      </c>
      <c r="G25" s="1" t="s">
        <v>13</v>
      </c>
    </row>
    <row r="26">
      <c r="A26" s="1" t="s">
        <v>109</v>
      </c>
      <c r="B26" s="1" t="s">
        <v>110</v>
      </c>
      <c r="C26" s="1" t="s">
        <v>102</v>
      </c>
      <c r="D26" s="1" t="s">
        <v>10</v>
      </c>
      <c r="E26" s="1" t="s">
        <v>11</v>
      </c>
      <c r="F26" s="1" t="s">
        <v>111</v>
      </c>
      <c r="G26" s="1" t="s">
        <v>13</v>
      </c>
    </row>
    <row r="27">
      <c r="A27" s="1" t="s">
        <v>112</v>
      </c>
      <c r="B27" s="1" t="s">
        <v>113</v>
      </c>
      <c r="C27" s="1" t="s">
        <v>102</v>
      </c>
      <c r="D27" s="1" t="s">
        <v>20</v>
      </c>
      <c r="E27" s="1" t="s">
        <v>11</v>
      </c>
      <c r="F27" s="1" t="s">
        <v>115</v>
      </c>
      <c r="G27" s="1" t="s">
        <v>13</v>
      </c>
    </row>
    <row r="28">
      <c r="A28" s="1" t="s">
        <v>116</v>
      </c>
      <c r="B28" s="1" t="s">
        <v>117</v>
      </c>
      <c r="C28" s="1" t="s">
        <v>102</v>
      </c>
      <c r="D28" s="1" t="s">
        <v>20</v>
      </c>
      <c r="E28" s="1" t="s">
        <v>16</v>
      </c>
      <c r="F28" s="1" t="s">
        <v>41</v>
      </c>
      <c r="G28" s="1" t="s">
        <v>13</v>
      </c>
    </row>
    <row r="29">
      <c r="A29" s="1" t="s">
        <v>119</v>
      </c>
      <c r="B29" s="1" t="s">
        <v>120</v>
      </c>
      <c r="C29" s="1" t="s">
        <v>102</v>
      </c>
      <c r="D29" s="1" t="s">
        <v>20</v>
      </c>
      <c r="E29" s="1" t="s">
        <v>11</v>
      </c>
      <c r="F29" s="1" t="s">
        <v>122</v>
      </c>
      <c r="G29" s="1" t="s">
        <v>13</v>
      </c>
    </row>
    <row r="30">
      <c r="A30" s="1" t="s">
        <v>123</v>
      </c>
      <c r="B30" s="1" t="s">
        <v>124</v>
      </c>
      <c r="C30" s="1" t="s">
        <v>125</v>
      </c>
      <c r="D30" s="1" t="s">
        <v>125</v>
      </c>
      <c r="E30" s="1" t="s">
        <v>11</v>
      </c>
      <c r="F30" s="1" t="s">
        <v>63</v>
      </c>
      <c r="G30" s="1" t="s">
        <v>13</v>
      </c>
    </row>
    <row r="31">
      <c r="A31" s="1" t="s">
        <v>127</v>
      </c>
      <c r="B31" s="1" t="s">
        <v>128</v>
      </c>
      <c r="C31" s="1" t="s">
        <v>125</v>
      </c>
      <c r="D31" s="1" t="s">
        <v>125</v>
      </c>
      <c r="E31" s="1" t="s">
        <v>11</v>
      </c>
      <c r="F31" s="1" t="s">
        <v>32</v>
      </c>
      <c r="G31" s="1" t="s">
        <v>13</v>
      </c>
    </row>
    <row r="32">
      <c r="A32" s="1" t="s">
        <v>130</v>
      </c>
      <c r="B32" s="1" t="s">
        <v>131</v>
      </c>
      <c r="C32" s="1" t="s">
        <v>125</v>
      </c>
      <c r="D32" s="1" t="s">
        <v>125</v>
      </c>
      <c r="E32" s="1" t="s">
        <v>16</v>
      </c>
      <c r="F32" s="1" t="s">
        <v>41</v>
      </c>
      <c r="G32" s="1" t="s">
        <v>13</v>
      </c>
    </row>
    <row r="33">
      <c r="A33" s="1" t="s">
        <v>133</v>
      </c>
      <c r="B33" s="1" t="s">
        <v>134</v>
      </c>
      <c r="C33" s="1" t="s">
        <v>125</v>
      </c>
      <c r="D33" s="1" t="s">
        <v>125</v>
      </c>
      <c r="E33" s="1" t="s">
        <v>24</v>
      </c>
      <c r="F33" s="1" t="s">
        <v>135</v>
      </c>
      <c r="G33" s="1" t="s">
        <v>13</v>
      </c>
    </row>
    <row r="34">
      <c r="A34" s="1" t="s">
        <v>137</v>
      </c>
      <c r="B34" s="1" t="s">
        <v>138</v>
      </c>
      <c r="C34" s="1" t="s">
        <v>125</v>
      </c>
      <c r="D34" s="1" t="s">
        <v>125</v>
      </c>
      <c r="E34" s="1" t="s">
        <v>11</v>
      </c>
      <c r="F34" s="1" t="s">
        <v>139</v>
      </c>
      <c r="G34" s="1" t="s">
        <v>13</v>
      </c>
    </row>
    <row r="35">
      <c r="A35" s="1" t="s">
        <v>140</v>
      </c>
      <c r="B35" s="1" t="s">
        <v>142</v>
      </c>
      <c r="C35" s="1" t="s">
        <v>125</v>
      </c>
      <c r="D35" s="1" t="s">
        <v>125</v>
      </c>
      <c r="E35" s="1" t="s">
        <v>11</v>
      </c>
      <c r="F35" s="1" t="s">
        <v>143</v>
      </c>
      <c r="G35" s="1" t="s">
        <v>13</v>
      </c>
    </row>
    <row r="36">
      <c r="A36" s="1" t="s">
        <v>144</v>
      </c>
      <c r="B36" s="1" t="s">
        <v>146</v>
      </c>
      <c r="C36" s="1" t="s">
        <v>125</v>
      </c>
      <c r="D36" s="1" t="s">
        <v>125</v>
      </c>
      <c r="E36" s="1" t="s">
        <v>16</v>
      </c>
      <c r="F36" s="1" t="s">
        <v>54</v>
      </c>
      <c r="G36" s="1" t="s">
        <v>13</v>
      </c>
    </row>
    <row r="37">
      <c r="A37" s="1" t="s">
        <v>147</v>
      </c>
      <c r="B37" s="1" t="s">
        <v>149</v>
      </c>
      <c r="C37" s="1" t="s">
        <v>125</v>
      </c>
      <c r="D37" s="1" t="s">
        <v>125</v>
      </c>
      <c r="E37" s="1" t="s">
        <v>28</v>
      </c>
      <c r="F37" s="1" t="s">
        <v>150</v>
      </c>
      <c r="G37" s="1" t="s">
        <v>13</v>
      </c>
    </row>
    <row r="38">
      <c r="A38" s="1" t="s">
        <v>151</v>
      </c>
      <c r="B38" s="1" t="s">
        <v>152</v>
      </c>
      <c r="C38" s="1" t="s">
        <v>125</v>
      </c>
      <c r="D38" s="1" t="s">
        <v>125</v>
      </c>
      <c r="E38" s="1" t="s">
        <v>11</v>
      </c>
      <c r="F38" s="1" t="s">
        <v>50</v>
      </c>
      <c r="G38" s="1" t="s">
        <v>13</v>
      </c>
    </row>
    <row r="39">
      <c r="A39" s="1" t="s">
        <v>154</v>
      </c>
      <c r="B39" s="1" t="s">
        <v>155</v>
      </c>
      <c r="C39" s="1" t="s">
        <v>125</v>
      </c>
      <c r="D39" s="1" t="s">
        <v>125</v>
      </c>
      <c r="E39" s="1" t="s">
        <v>57</v>
      </c>
      <c r="F39" s="1" t="s">
        <v>157</v>
      </c>
      <c r="G39" s="1" t="s">
        <v>0</v>
      </c>
    </row>
    <row r="40">
      <c r="A40" s="1" t="s">
        <v>158</v>
      </c>
      <c r="B40" s="1" t="s">
        <v>160</v>
      </c>
      <c r="C40" s="1" t="s">
        <v>125</v>
      </c>
      <c r="D40" s="1" t="s">
        <v>125</v>
      </c>
      <c r="E40" s="1" t="s">
        <v>11</v>
      </c>
      <c r="F40" s="1" t="s">
        <v>75</v>
      </c>
      <c r="G40" s="1" t="s">
        <v>13</v>
      </c>
    </row>
    <row r="41">
      <c r="A41" s="1" t="s">
        <v>161</v>
      </c>
      <c r="B41" s="1" t="s">
        <v>163</v>
      </c>
      <c r="C41" s="1" t="s">
        <v>125</v>
      </c>
      <c r="D41" s="1" t="s">
        <v>125</v>
      </c>
      <c r="E41" s="1" t="s">
        <v>16</v>
      </c>
      <c r="F41" s="1" t="s">
        <v>164</v>
      </c>
      <c r="G41" s="1" t="s">
        <v>13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18.88"/>
    <col customWidth="1" min="3" max="3" width="25.63"/>
    <col customWidth="1" min="5" max="5" width="18.88"/>
  </cols>
  <sheetData>
    <row r="1">
      <c r="A1" s="2" t="s">
        <v>0</v>
      </c>
      <c r="B1" s="2" t="s">
        <v>40</v>
      </c>
      <c r="C1" s="2" t="s">
        <v>42</v>
      </c>
    </row>
    <row r="2">
      <c r="A2" s="2" t="s">
        <v>7</v>
      </c>
      <c r="B2" s="2" t="s">
        <v>48</v>
      </c>
      <c r="C2" s="2" t="s">
        <v>49</v>
      </c>
      <c r="J2" s="3"/>
    </row>
    <row r="3">
      <c r="A3" s="2" t="s">
        <v>14</v>
      </c>
      <c r="B3" s="2" t="s">
        <v>53</v>
      </c>
      <c r="C3" s="2" t="s">
        <v>49</v>
      </c>
      <c r="J3" s="3"/>
    </row>
    <row r="4">
      <c r="A4" s="2" t="s">
        <v>18</v>
      </c>
      <c r="B4" s="2" t="s">
        <v>59</v>
      </c>
      <c r="C4" s="2" t="s">
        <v>49</v>
      </c>
      <c r="J4" s="3"/>
    </row>
    <row r="5">
      <c r="A5" s="2" t="s">
        <v>22</v>
      </c>
      <c r="B5" s="2" t="s">
        <v>64</v>
      </c>
      <c r="C5" s="2" t="s">
        <v>49</v>
      </c>
      <c r="J5" s="3"/>
    </row>
    <row r="6">
      <c r="A6" s="2" t="s">
        <v>26</v>
      </c>
      <c r="B6" s="2" t="s">
        <v>68</v>
      </c>
      <c r="C6" s="2" t="s">
        <v>49</v>
      </c>
      <c r="J6" s="3"/>
    </row>
    <row r="7">
      <c r="A7" s="2" t="s">
        <v>30</v>
      </c>
      <c r="B7" s="2" t="s">
        <v>74</v>
      </c>
      <c r="C7" s="2" t="s">
        <v>49</v>
      </c>
      <c r="J7" s="3"/>
    </row>
    <row r="8">
      <c r="A8" s="2" t="s">
        <v>33</v>
      </c>
      <c r="B8" s="2" t="s">
        <v>79</v>
      </c>
      <c r="C8" s="2" t="s">
        <v>49</v>
      </c>
      <c r="J8" s="3"/>
    </row>
    <row r="9">
      <c r="A9" s="2" t="s">
        <v>37</v>
      </c>
      <c r="B9" s="2" t="s">
        <v>83</v>
      </c>
      <c r="C9" s="2" t="s">
        <v>49</v>
      </c>
      <c r="J9" s="3"/>
    </row>
    <row r="10">
      <c r="A10" s="2" t="s">
        <v>43</v>
      </c>
      <c r="B10" s="2" t="s">
        <v>89</v>
      </c>
      <c r="C10" s="2" t="s">
        <v>49</v>
      </c>
      <c r="J10" s="3"/>
    </row>
    <row r="11">
      <c r="A11" s="2" t="s">
        <v>46</v>
      </c>
      <c r="B11" s="2" t="s">
        <v>93</v>
      </c>
      <c r="C11" s="2" t="s">
        <v>49</v>
      </c>
      <c r="J11" s="3"/>
    </row>
    <row r="12">
      <c r="A12" s="2" t="s">
        <v>51</v>
      </c>
      <c r="B12" s="2" t="s">
        <v>97</v>
      </c>
      <c r="C12" s="2" t="s">
        <v>49</v>
      </c>
      <c r="J12" s="3"/>
    </row>
    <row r="13">
      <c r="A13" s="2" t="s">
        <v>55</v>
      </c>
      <c r="B13" s="2" t="s">
        <v>103</v>
      </c>
      <c r="C13" s="2" t="s">
        <v>49</v>
      </c>
      <c r="J13" s="3"/>
    </row>
    <row r="14">
      <c r="A14" s="2" t="s">
        <v>60</v>
      </c>
      <c r="B14" s="2" t="s">
        <v>108</v>
      </c>
      <c r="C14" s="2" t="s">
        <v>49</v>
      </c>
      <c r="J14" s="3"/>
    </row>
    <row r="15">
      <c r="A15" s="2" t="s">
        <v>65</v>
      </c>
      <c r="B15" s="2" t="s">
        <v>114</v>
      </c>
      <c r="C15" s="2" t="s">
        <v>49</v>
      </c>
      <c r="J15" s="3"/>
    </row>
    <row r="16">
      <c r="A16" s="2" t="s">
        <v>69</v>
      </c>
      <c r="B16" s="2" t="s">
        <v>118</v>
      </c>
      <c r="C16" s="2" t="s">
        <v>49</v>
      </c>
      <c r="J16" s="3"/>
    </row>
    <row r="17">
      <c r="A17" s="2" t="s">
        <v>72</v>
      </c>
      <c r="B17" s="2" t="s">
        <v>121</v>
      </c>
      <c r="C17" s="2" t="s">
        <v>49</v>
      </c>
      <c r="J17" s="3"/>
    </row>
    <row r="18">
      <c r="A18" s="2" t="s">
        <v>76</v>
      </c>
      <c r="B18" s="2" t="s">
        <v>126</v>
      </c>
      <c r="C18" s="2" t="s">
        <v>49</v>
      </c>
      <c r="J18" s="3"/>
    </row>
    <row r="19">
      <c r="A19" s="2" t="s">
        <v>80</v>
      </c>
      <c r="B19" s="2" t="s">
        <v>129</v>
      </c>
      <c r="C19" s="2" t="s">
        <v>49</v>
      </c>
      <c r="J19" s="3"/>
    </row>
    <row r="20">
      <c r="A20" s="2" t="s">
        <v>84</v>
      </c>
      <c r="B20" s="2" t="s">
        <v>132</v>
      </c>
      <c r="C20" s="2" t="s">
        <v>49</v>
      </c>
      <c r="J20" s="3"/>
    </row>
    <row r="21">
      <c r="A21" s="2" t="s">
        <v>88</v>
      </c>
      <c r="B21" s="2" t="s">
        <v>136</v>
      </c>
      <c r="C21" s="2" t="s">
        <v>49</v>
      </c>
      <c r="J21" s="3"/>
    </row>
    <row r="22">
      <c r="A22" s="2" t="s">
        <v>92</v>
      </c>
      <c r="B22" s="2" t="s">
        <v>141</v>
      </c>
      <c r="C22" s="2" t="s">
        <v>49</v>
      </c>
      <c r="J22" s="3"/>
    </row>
    <row r="23">
      <c r="A23" s="2" t="s">
        <v>96</v>
      </c>
      <c r="B23" s="2" t="s">
        <v>145</v>
      </c>
      <c r="C23" s="2" t="s">
        <v>49</v>
      </c>
      <c r="J23" s="3"/>
    </row>
    <row r="24">
      <c r="A24" s="2" t="s">
        <v>100</v>
      </c>
      <c r="B24" s="2" t="s">
        <v>148</v>
      </c>
      <c r="C24" s="2" t="s">
        <v>49</v>
      </c>
      <c r="J24" s="3"/>
    </row>
    <row r="25">
      <c r="A25" s="2" t="s">
        <v>105</v>
      </c>
      <c r="B25" s="2" t="s">
        <v>153</v>
      </c>
      <c r="C25" s="2" t="s">
        <v>49</v>
      </c>
      <c r="J25" s="3"/>
    </row>
    <row r="26">
      <c r="A26" s="2" t="s">
        <v>109</v>
      </c>
      <c r="B26" s="2" t="s">
        <v>156</v>
      </c>
      <c r="C26" s="2" t="s">
        <v>49</v>
      </c>
      <c r="J26" s="3"/>
    </row>
    <row r="27">
      <c r="A27" s="2" t="s">
        <v>112</v>
      </c>
      <c r="B27" s="2" t="s">
        <v>159</v>
      </c>
      <c r="C27" s="2" t="s">
        <v>49</v>
      </c>
      <c r="J27" s="3"/>
    </row>
    <row r="28">
      <c r="A28" s="2" t="s">
        <v>116</v>
      </c>
      <c r="B28" s="2" t="s">
        <v>162</v>
      </c>
      <c r="C28" s="2" t="s">
        <v>49</v>
      </c>
      <c r="J28" s="3"/>
    </row>
    <row r="29">
      <c r="A29" s="2" t="s">
        <v>119</v>
      </c>
      <c r="B29" s="2" t="s">
        <v>165</v>
      </c>
      <c r="C29" s="2" t="s">
        <v>49</v>
      </c>
      <c r="J29" s="3"/>
    </row>
    <row r="30">
      <c r="A30" s="2" t="s">
        <v>123</v>
      </c>
      <c r="B30" s="2" t="s">
        <v>166</v>
      </c>
      <c r="C30" s="2" t="s">
        <v>49</v>
      </c>
      <c r="J30" s="3"/>
    </row>
    <row r="31">
      <c r="A31" s="2" t="s">
        <v>127</v>
      </c>
      <c r="B31" s="2" t="s">
        <v>167</v>
      </c>
      <c r="C31" s="2" t="s">
        <v>49</v>
      </c>
      <c r="J31" s="3"/>
    </row>
    <row r="32">
      <c r="A32" s="2" t="s">
        <v>130</v>
      </c>
      <c r="B32" s="2" t="s">
        <v>168</v>
      </c>
      <c r="C32" s="2" t="s">
        <v>49</v>
      </c>
      <c r="J32" s="3"/>
    </row>
    <row r="33">
      <c r="A33" s="2" t="s">
        <v>133</v>
      </c>
      <c r="B33" s="2" t="s">
        <v>169</v>
      </c>
      <c r="C33" s="2" t="s">
        <v>49</v>
      </c>
      <c r="J33" s="3"/>
    </row>
    <row r="34">
      <c r="A34" s="2" t="s">
        <v>137</v>
      </c>
      <c r="B34" s="2" t="s">
        <v>170</v>
      </c>
      <c r="C34" s="2" t="s">
        <v>49</v>
      </c>
      <c r="J34" s="3"/>
    </row>
    <row r="35">
      <c r="A35" s="2" t="s">
        <v>140</v>
      </c>
      <c r="B35" s="2" t="s">
        <v>171</v>
      </c>
      <c r="C35" s="2" t="s">
        <v>49</v>
      </c>
      <c r="J35" s="3"/>
    </row>
    <row r="36">
      <c r="A36" s="2" t="s">
        <v>144</v>
      </c>
      <c r="B36" s="2" t="s">
        <v>172</v>
      </c>
      <c r="C36" s="2" t="s">
        <v>49</v>
      </c>
      <c r="J36" s="3"/>
    </row>
    <row r="37">
      <c r="A37" s="2" t="s">
        <v>147</v>
      </c>
      <c r="B37" s="2" t="s">
        <v>173</v>
      </c>
      <c r="C37" s="2" t="s">
        <v>49</v>
      </c>
      <c r="J37" s="3"/>
    </row>
    <row r="38">
      <c r="A38" s="2" t="s">
        <v>151</v>
      </c>
      <c r="B38" s="2" t="s">
        <v>174</v>
      </c>
      <c r="C38" s="2" t="s">
        <v>49</v>
      </c>
      <c r="J38" s="3"/>
    </row>
    <row r="39">
      <c r="A39" s="2" t="s">
        <v>154</v>
      </c>
      <c r="B39" s="2" t="s">
        <v>175</v>
      </c>
      <c r="C39" s="2" t="s">
        <v>49</v>
      </c>
      <c r="J39" s="3"/>
    </row>
    <row r="40">
      <c r="A40" s="2" t="s">
        <v>158</v>
      </c>
      <c r="B40" s="2" t="s">
        <v>176</v>
      </c>
      <c r="C40" s="2" t="s">
        <v>49</v>
      </c>
      <c r="J40" s="3"/>
    </row>
    <row r="41">
      <c r="A41" s="2" t="s">
        <v>161</v>
      </c>
      <c r="B41" s="2" t="s">
        <v>177</v>
      </c>
      <c r="C41" s="2" t="s">
        <v>49</v>
      </c>
      <c r="J41"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 customWidth="1" min="5" max="5" width="72.63"/>
  </cols>
  <sheetData>
    <row r="1">
      <c r="A1" s="2" t="s">
        <v>0</v>
      </c>
      <c r="B1" s="2" t="s">
        <v>178</v>
      </c>
      <c r="C1" s="2" t="s">
        <v>179</v>
      </c>
      <c r="D1" s="2" t="s">
        <v>180</v>
      </c>
      <c r="E1" s="2" t="s">
        <v>181</v>
      </c>
      <c r="F1" s="2" t="s">
        <v>182</v>
      </c>
      <c r="G1" s="2" t="s">
        <v>183</v>
      </c>
      <c r="H1" s="2" t="s">
        <v>184</v>
      </c>
      <c r="I1" s="2" t="s">
        <v>185</v>
      </c>
      <c r="J1" s="2" t="s">
        <v>186</v>
      </c>
    </row>
    <row r="2">
      <c r="A2" s="2" t="s">
        <v>7</v>
      </c>
      <c r="B2" s="2" t="s">
        <v>187</v>
      </c>
      <c r="C2" s="2" t="s">
        <v>188</v>
      </c>
      <c r="D2" s="4">
        <v>4.0</v>
      </c>
      <c r="E2" s="5" t="s">
        <v>189</v>
      </c>
      <c r="F2" s="4">
        <v>497.0</v>
      </c>
      <c r="G2" s="4">
        <v>2304.0</v>
      </c>
      <c r="H2" s="4">
        <v>2304.0</v>
      </c>
      <c r="I2" s="4">
        <v>0.006</v>
      </c>
      <c r="J2" s="6">
        <v>46296.0</v>
      </c>
    </row>
    <row r="3">
      <c r="A3" s="2" t="s">
        <v>14</v>
      </c>
      <c r="B3" s="2" t="s">
        <v>187</v>
      </c>
      <c r="C3" s="2" t="s">
        <v>188</v>
      </c>
      <c r="D3" s="4">
        <v>3.0</v>
      </c>
      <c r="E3" s="5" t="s">
        <v>190</v>
      </c>
      <c r="F3" s="4">
        <v>607.0</v>
      </c>
      <c r="G3" s="4">
        <v>2496.0</v>
      </c>
      <c r="H3" s="4">
        <v>2496.0</v>
      </c>
      <c r="I3" s="4">
        <v>0.006</v>
      </c>
      <c r="J3" s="6">
        <v>46296.0</v>
      </c>
    </row>
    <row r="4">
      <c r="A4" s="2" t="s">
        <v>18</v>
      </c>
      <c r="B4" s="2" t="s">
        <v>187</v>
      </c>
      <c r="C4" s="2" t="s">
        <v>188</v>
      </c>
      <c r="D4" s="4">
        <v>4.0</v>
      </c>
      <c r="E4" s="5" t="s">
        <v>193</v>
      </c>
      <c r="F4" s="4">
        <v>1159.0</v>
      </c>
      <c r="G4" s="4">
        <v>2119.0</v>
      </c>
      <c r="H4" s="4">
        <v>2119.0</v>
      </c>
      <c r="I4" s="4">
        <v>0.006</v>
      </c>
      <c r="J4" s="6">
        <v>46296.0</v>
      </c>
    </row>
    <row r="5">
      <c r="A5" s="2" t="s">
        <v>22</v>
      </c>
      <c r="B5" s="2" t="s">
        <v>187</v>
      </c>
      <c r="C5" s="2" t="s">
        <v>188</v>
      </c>
      <c r="D5" s="4">
        <v>4.0</v>
      </c>
      <c r="E5" s="5" t="s">
        <v>195</v>
      </c>
      <c r="F5" s="4">
        <v>946.0</v>
      </c>
      <c r="G5" s="4">
        <v>2464.0</v>
      </c>
      <c r="H5" s="4">
        <v>2464.0</v>
      </c>
      <c r="I5" s="4">
        <v>0.006</v>
      </c>
      <c r="J5" s="6">
        <v>46296.0</v>
      </c>
    </row>
    <row r="6">
      <c r="A6" s="2" t="s">
        <v>26</v>
      </c>
      <c r="B6" s="2" t="s">
        <v>187</v>
      </c>
      <c r="C6" s="2" t="s">
        <v>188</v>
      </c>
      <c r="D6" s="4">
        <v>4.0</v>
      </c>
      <c r="E6" s="5" t="s">
        <v>196</v>
      </c>
      <c r="F6" s="4">
        <v>709.0</v>
      </c>
      <c r="G6" s="4">
        <v>2026.0</v>
      </c>
      <c r="H6" s="4">
        <v>2026.0</v>
      </c>
      <c r="I6" s="4">
        <v>0.006</v>
      </c>
      <c r="J6" s="6">
        <v>46296.0</v>
      </c>
    </row>
    <row r="7">
      <c r="A7" s="2" t="s">
        <v>30</v>
      </c>
      <c r="B7" s="2" t="s">
        <v>187</v>
      </c>
      <c r="C7" s="2" t="s">
        <v>188</v>
      </c>
      <c r="D7" s="4">
        <v>4.0</v>
      </c>
      <c r="E7" s="2" t="s">
        <v>198</v>
      </c>
      <c r="F7" s="4">
        <v>742.0</v>
      </c>
      <c r="G7" s="4">
        <v>2542.0</v>
      </c>
      <c r="H7" s="4">
        <v>2542.0</v>
      </c>
      <c r="I7" s="4">
        <v>0.006</v>
      </c>
      <c r="J7" s="6">
        <v>46296.0</v>
      </c>
    </row>
    <row r="8">
      <c r="A8" s="2" t="s">
        <v>33</v>
      </c>
      <c r="B8" s="2" t="s">
        <v>187</v>
      </c>
      <c r="C8" s="2" t="s">
        <v>188</v>
      </c>
      <c r="D8" s="4">
        <v>3.0</v>
      </c>
      <c r="E8" s="5" t="s">
        <v>200</v>
      </c>
      <c r="F8" s="4">
        <v>445.0</v>
      </c>
      <c r="G8" s="4">
        <v>2899.0</v>
      </c>
      <c r="H8" s="4">
        <v>2899.0</v>
      </c>
      <c r="I8" s="4">
        <v>0.006</v>
      </c>
      <c r="J8" s="6">
        <v>46296.0</v>
      </c>
    </row>
    <row r="9">
      <c r="A9" s="2" t="s">
        <v>37</v>
      </c>
      <c r="B9" s="2" t="s">
        <v>187</v>
      </c>
      <c r="C9" s="2" t="s">
        <v>188</v>
      </c>
      <c r="D9" s="4">
        <v>5.0</v>
      </c>
      <c r="E9" s="5" t="s">
        <v>202</v>
      </c>
      <c r="F9" s="4">
        <v>705.0</v>
      </c>
      <c r="G9" s="4">
        <v>2779.0</v>
      </c>
      <c r="H9" s="4">
        <v>2779.0</v>
      </c>
      <c r="I9" s="4">
        <v>0.006</v>
      </c>
      <c r="J9" s="6">
        <v>46296.0</v>
      </c>
    </row>
    <row r="10">
      <c r="A10" s="2" t="s">
        <v>43</v>
      </c>
      <c r="B10" s="2" t="s">
        <v>187</v>
      </c>
      <c r="C10" s="2" t="s">
        <v>188</v>
      </c>
      <c r="D10" s="4">
        <v>3.0</v>
      </c>
      <c r="E10" s="5" t="s">
        <v>203</v>
      </c>
      <c r="F10" s="4">
        <v>634.0</v>
      </c>
      <c r="G10" s="4">
        <v>2047.0</v>
      </c>
      <c r="H10" s="4">
        <v>2047.0</v>
      </c>
      <c r="I10" s="4">
        <v>0.006</v>
      </c>
      <c r="J10" s="6">
        <v>46296.0</v>
      </c>
    </row>
    <row r="11">
      <c r="A11" s="2" t="s">
        <v>46</v>
      </c>
      <c r="B11" s="2" t="s">
        <v>187</v>
      </c>
      <c r="C11" s="2" t="s">
        <v>188</v>
      </c>
      <c r="D11" s="4">
        <v>5.0</v>
      </c>
      <c r="E11" s="2" t="s">
        <v>204</v>
      </c>
      <c r="F11" s="4">
        <v>712.0</v>
      </c>
      <c r="G11" s="4">
        <v>2215.0</v>
      </c>
      <c r="H11" s="4">
        <v>2215.0</v>
      </c>
      <c r="I11" s="4">
        <v>0.006</v>
      </c>
      <c r="J11" s="6">
        <v>46296.0</v>
      </c>
    </row>
    <row r="12">
      <c r="A12" s="2" t="s">
        <v>51</v>
      </c>
      <c r="B12" s="2" t="s">
        <v>187</v>
      </c>
      <c r="C12" s="2" t="s">
        <v>188</v>
      </c>
      <c r="D12" s="4">
        <v>3.0</v>
      </c>
      <c r="E12" s="2" t="s">
        <v>206</v>
      </c>
      <c r="F12" s="4">
        <v>469.0</v>
      </c>
      <c r="G12" s="4">
        <v>2460.0</v>
      </c>
      <c r="H12" s="4">
        <v>2460.0</v>
      </c>
      <c r="I12" s="4">
        <v>0.006</v>
      </c>
      <c r="J12" s="6">
        <v>46296.0</v>
      </c>
    </row>
    <row r="13">
      <c r="A13" s="2" t="s">
        <v>55</v>
      </c>
      <c r="B13" s="2" t="s">
        <v>187</v>
      </c>
      <c r="C13" s="2" t="s">
        <v>188</v>
      </c>
      <c r="D13" s="4">
        <v>3.0</v>
      </c>
      <c r="E13" s="5" t="s">
        <v>208</v>
      </c>
      <c r="F13" s="4">
        <v>708.0</v>
      </c>
      <c r="G13" s="4">
        <v>1961.0</v>
      </c>
      <c r="H13" s="4">
        <v>1961.0</v>
      </c>
      <c r="I13" s="4">
        <v>0.006</v>
      </c>
      <c r="J13" s="6">
        <v>46296.0</v>
      </c>
    </row>
    <row r="14">
      <c r="A14" s="2" t="s">
        <v>60</v>
      </c>
      <c r="B14" s="2" t="s">
        <v>187</v>
      </c>
      <c r="C14" s="2" t="s">
        <v>188</v>
      </c>
      <c r="D14" s="4">
        <v>5.0</v>
      </c>
      <c r="E14" s="5" t="s">
        <v>209</v>
      </c>
      <c r="F14" s="4">
        <v>580.0</v>
      </c>
      <c r="G14" s="4">
        <v>2376.0</v>
      </c>
      <c r="H14" s="4">
        <v>2376.0</v>
      </c>
      <c r="I14" s="4">
        <v>0.006</v>
      </c>
      <c r="J14" s="6">
        <v>46296.0</v>
      </c>
    </row>
    <row r="15">
      <c r="A15" s="2" t="s">
        <v>65</v>
      </c>
      <c r="B15" s="2" t="s">
        <v>187</v>
      </c>
      <c r="C15" s="2" t="s">
        <v>188</v>
      </c>
      <c r="D15" s="4">
        <v>2.0</v>
      </c>
      <c r="E15" s="5" t="s">
        <v>211</v>
      </c>
      <c r="F15" s="4">
        <v>652.0</v>
      </c>
      <c r="G15" s="4">
        <v>2270.0</v>
      </c>
      <c r="H15" s="4">
        <v>2270.0</v>
      </c>
      <c r="I15" s="4">
        <v>0.006</v>
      </c>
      <c r="J15" s="6">
        <v>46296.0</v>
      </c>
    </row>
    <row r="16">
      <c r="A16" s="2" t="s">
        <v>69</v>
      </c>
      <c r="B16" s="2" t="s">
        <v>187</v>
      </c>
      <c r="C16" s="2" t="s">
        <v>188</v>
      </c>
      <c r="D16" s="4">
        <v>4.0</v>
      </c>
      <c r="E16" s="2" t="s">
        <v>213</v>
      </c>
      <c r="F16" s="4">
        <v>512.0</v>
      </c>
      <c r="G16" s="4">
        <v>2615.0</v>
      </c>
      <c r="H16" s="4">
        <v>2615.0</v>
      </c>
      <c r="I16" s="4">
        <v>0.006</v>
      </c>
      <c r="J16" s="6">
        <v>46296.0</v>
      </c>
    </row>
    <row r="17">
      <c r="A17" s="2" t="s">
        <v>72</v>
      </c>
      <c r="B17" s="2" t="s">
        <v>187</v>
      </c>
      <c r="C17" s="2" t="s">
        <v>188</v>
      </c>
      <c r="D17" s="4">
        <v>5.0</v>
      </c>
      <c r="E17" s="5" t="s">
        <v>217</v>
      </c>
      <c r="F17" s="4">
        <v>461.0</v>
      </c>
      <c r="G17" s="4">
        <v>2488.0</v>
      </c>
      <c r="H17" s="4">
        <v>2488.0</v>
      </c>
      <c r="I17" s="4">
        <v>0.006</v>
      </c>
      <c r="J17" s="6">
        <v>46296.0</v>
      </c>
    </row>
    <row r="18">
      <c r="A18" s="2" t="s">
        <v>76</v>
      </c>
      <c r="B18" s="2" t="s">
        <v>187</v>
      </c>
      <c r="C18" s="2" t="s">
        <v>188</v>
      </c>
      <c r="D18" s="4">
        <v>4.0</v>
      </c>
      <c r="E18" s="5" t="s">
        <v>219</v>
      </c>
      <c r="F18" s="4">
        <v>649.0</v>
      </c>
      <c r="G18" s="4">
        <v>2194.0</v>
      </c>
      <c r="H18" s="4">
        <v>2194.0</v>
      </c>
      <c r="I18" s="4">
        <v>0.006</v>
      </c>
      <c r="J18" s="6">
        <v>46296.0</v>
      </c>
    </row>
    <row r="19">
      <c r="A19" s="2" t="s">
        <v>80</v>
      </c>
      <c r="B19" s="2" t="s">
        <v>187</v>
      </c>
      <c r="C19" s="2" t="s">
        <v>188</v>
      </c>
      <c r="D19" s="4">
        <v>4.0</v>
      </c>
      <c r="E19" s="2" t="s">
        <v>221</v>
      </c>
      <c r="F19" s="4">
        <v>504.0</v>
      </c>
      <c r="G19" s="4">
        <v>2675.0</v>
      </c>
      <c r="H19" s="4">
        <v>2675.0</v>
      </c>
      <c r="I19" s="4">
        <v>0.006</v>
      </c>
      <c r="J19" s="6">
        <v>46296.0</v>
      </c>
    </row>
    <row r="20">
      <c r="A20" s="2" t="s">
        <v>84</v>
      </c>
      <c r="B20" s="2" t="s">
        <v>187</v>
      </c>
      <c r="C20" s="2" t="s">
        <v>188</v>
      </c>
      <c r="D20" s="4">
        <v>4.0</v>
      </c>
      <c r="E20" s="5" t="s">
        <v>223</v>
      </c>
      <c r="F20" s="4">
        <v>670.0</v>
      </c>
      <c r="G20" s="4">
        <v>2331.0</v>
      </c>
      <c r="H20" s="4">
        <v>2331.0</v>
      </c>
      <c r="I20" s="4">
        <v>0.006</v>
      </c>
      <c r="J20" s="6">
        <v>46296.0</v>
      </c>
    </row>
    <row r="21">
      <c r="A21" s="2" t="s">
        <v>88</v>
      </c>
      <c r="B21" s="2" t="s">
        <v>187</v>
      </c>
      <c r="C21" s="2" t="s">
        <v>188</v>
      </c>
      <c r="D21" s="4">
        <v>3.0</v>
      </c>
      <c r="E21" s="5" t="s">
        <v>225</v>
      </c>
      <c r="F21" s="4">
        <v>1242.0</v>
      </c>
      <c r="G21" s="4">
        <v>1979.0</v>
      </c>
      <c r="H21" s="4">
        <v>1979.0</v>
      </c>
      <c r="I21" s="4">
        <v>0.006</v>
      </c>
      <c r="J21" s="6">
        <v>46296.0</v>
      </c>
    </row>
    <row r="22">
      <c r="A22" s="2" t="s">
        <v>92</v>
      </c>
      <c r="B22" s="2" t="s">
        <v>187</v>
      </c>
      <c r="C22" s="2" t="s">
        <v>188</v>
      </c>
      <c r="D22" s="4">
        <v>4.0</v>
      </c>
      <c r="E22" s="5" t="s">
        <v>227</v>
      </c>
      <c r="F22" s="4">
        <v>713.0</v>
      </c>
      <c r="G22" s="4">
        <v>2708.0</v>
      </c>
      <c r="H22" s="4">
        <v>2708.0</v>
      </c>
      <c r="I22" s="4">
        <v>0.006</v>
      </c>
      <c r="J22" s="6">
        <v>46296.0</v>
      </c>
    </row>
    <row r="23">
      <c r="A23" s="2" t="s">
        <v>96</v>
      </c>
      <c r="B23" s="2" t="s">
        <v>187</v>
      </c>
      <c r="C23" s="2" t="s">
        <v>188</v>
      </c>
      <c r="D23" s="4">
        <v>4.0</v>
      </c>
      <c r="E23" s="2" t="s">
        <v>229</v>
      </c>
      <c r="F23" s="4">
        <v>653.0</v>
      </c>
      <c r="G23" s="4">
        <v>1970.0</v>
      </c>
      <c r="H23" s="4">
        <v>1970.0</v>
      </c>
      <c r="I23" s="4">
        <v>0.006</v>
      </c>
      <c r="J23" s="6">
        <v>46296.0</v>
      </c>
    </row>
    <row r="24">
      <c r="A24" s="2" t="s">
        <v>100</v>
      </c>
      <c r="B24" s="2" t="s">
        <v>187</v>
      </c>
      <c r="C24" s="2" t="s">
        <v>188</v>
      </c>
      <c r="D24" s="4">
        <v>5.0</v>
      </c>
      <c r="E24" s="5" t="s">
        <v>231</v>
      </c>
      <c r="F24" s="4">
        <v>558.0</v>
      </c>
      <c r="G24" s="4">
        <v>2385.0</v>
      </c>
      <c r="H24" s="4">
        <v>2385.0</v>
      </c>
      <c r="I24" s="4">
        <v>0.006</v>
      </c>
      <c r="J24" s="6">
        <v>46296.0</v>
      </c>
    </row>
    <row r="25">
      <c r="A25" s="2" t="s">
        <v>105</v>
      </c>
      <c r="B25" s="2" t="s">
        <v>187</v>
      </c>
      <c r="C25" s="2" t="s">
        <v>188</v>
      </c>
      <c r="D25" s="4">
        <v>4.0</v>
      </c>
      <c r="E25" s="5" t="s">
        <v>233</v>
      </c>
      <c r="F25" s="4">
        <v>453.0</v>
      </c>
      <c r="G25" s="4">
        <v>1962.0</v>
      </c>
      <c r="H25" s="4">
        <v>1962.0</v>
      </c>
      <c r="I25" s="4">
        <v>0.006</v>
      </c>
      <c r="J25" s="6">
        <v>46296.0</v>
      </c>
    </row>
    <row r="26">
      <c r="A26" s="2" t="s">
        <v>109</v>
      </c>
      <c r="B26" s="2" t="s">
        <v>187</v>
      </c>
      <c r="C26" s="2" t="s">
        <v>188</v>
      </c>
      <c r="D26" s="4">
        <v>4.0</v>
      </c>
      <c r="E26" s="5" t="s">
        <v>236</v>
      </c>
      <c r="F26" s="4">
        <v>578.0</v>
      </c>
      <c r="G26" s="4">
        <v>2562.0</v>
      </c>
      <c r="H26" s="4">
        <v>2562.0</v>
      </c>
      <c r="I26" s="4">
        <v>0.006</v>
      </c>
      <c r="J26" s="6">
        <v>46296.0</v>
      </c>
    </row>
    <row r="27">
      <c r="A27" s="2" t="s">
        <v>112</v>
      </c>
      <c r="B27" s="2" t="s">
        <v>187</v>
      </c>
      <c r="C27" s="2" t="s">
        <v>188</v>
      </c>
      <c r="D27" s="4">
        <v>4.0</v>
      </c>
      <c r="E27" s="2" t="s">
        <v>239</v>
      </c>
      <c r="F27" s="4">
        <v>768.0</v>
      </c>
      <c r="G27" s="4">
        <v>2741.0</v>
      </c>
      <c r="H27" s="4">
        <v>2741.0</v>
      </c>
      <c r="I27" s="4">
        <v>0.006</v>
      </c>
      <c r="J27" s="6">
        <v>46296.0</v>
      </c>
    </row>
    <row r="28">
      <c r="A28" s="2" t="s">
        <v>116</v>
      </c>
      <c r="B28" s="2" t="s">
        <v>187</v>
      </c>
      <c r="C28" s="2" t="s">
        <v>188</v>
      </c>
      <c r="D28" s="4">
        <v>3.0</v>
      </c>
      <c r="E28" s="2" t="s">
        <v>242</v>
      </c>
      <c r="F28" s="4">
        <v>786.0</v>
      </c>
      <c r="G28" s="4">
        <v>2295.0</v>
      </c>
      <c r="H28" s="4">
        <v>2295.0</v>
      </c>
      <c r="I28" s="4">
        <v>0.006</v>
      </c>
      <c r="J28" s="6">
        <v>46296.0</v>
      </c>
    </row>
    <row r="29">
      <c r="A29" s="2" t="s">
        <v>119</v>
      </c>
      <c r="B29" s="2" t="s">
        <v>187</v>
      </c>
      <c r="C29" s="2" t="s">
        <v>188</v>
      </c>
      <c r="D29" s="4">
        <v>1.0</v>
      </c>
      <c r="E29" s="2" t="s">
        <v>244</v>
      </c>
      <c r="F29" s="4">
        <v>601.0</v>
      </c>
      <c r="G29" s="4">
        <v>2072.0</v>
      </c>
      <c r="H29" s="4">
        <v>2072.0</v>
      </c>
      <c r="I29" s="4">
        <v>0.006</v>
      </c>
      <c r="J29" s="6">
        <v>46296.0</v>
      </c>
    </row>
    <row r="30">
      <c r="A30" s="2" t="s">
        <v>123</v>
      </c>
      <c r="B30" s="2" t="s">
        <v>187</v>
      </c>
      <c r="C30" s="2" t="s">
        <v>247</v>
      </c>
      <c r="D30" s="4">
        <v>4.0</v>
      </c>
      <c r="E30" s="2" t="s">
        <v>248</v>
      </c>
      <c r="F30" s="4">
        <v>36823.0</v>
      </c>
      <c r="G30" s="4">
        <v>2586.0</v>
      </c>
      <c r="H30" s="4">
        <v>2586.0</v>
      </c>
      <c r="I30" s="4">
        <v>0.05</v>
      </c>
      <c r="J30" s="6">
        <v>46296.0</v>
      </c>
    </row>
    <row r="31">
      <c r="A31" s="2" t="s">
        <v>127</v>
      </c>
      <c r="B31" s="2" t="s">
        <v>187</v>
      </c>
      <c r="C31" s="2" t="s">
        <v>247</v>
      </c>
      <c r="D31" s="4">
        <v>4.0</v>
      </c>
      <c r="E31" s="5" t="s">
        <v>250</v>
      </c>
      <c r="F31" s="4">
        <v>40342.0</v>
      </c>
      <c r="G31" s="4">
        <v>2577.0</v>
      </c>
      <c r="H31" s="4">
        <v>2577.0</v>
      </c>
      <c r="I31" s="4">
        <v>0.05</v>
      </c>
      <c r="J31" s="6">
        <v>46296.0</v>
      </c>
    </row>
    <row r="32">
      <c r="A32" s="2" t="s">
        <v>130</v>
      </c>
      <c r="B32" s="2" t="s">
        <v>187</v>
      </c>
      <c r="C32" s="2" t="s">
        <v>247</v>
      </c>
      <c r="D32" s="4">
        <v>4.0</v>
      </c>
      <c r="E32" s="2" t="s">
        <v>253</v>
      </c>
      <c r="F32" s="4">
        <v>47598.0</v>
      </c>
      <c r="G32" s="4">
        <v>2176.0</v>
      </c>
      <c r="H32" s="4">
        <v>2176.0</v>
      </c>
      <c r="I32" s="4">
        <v>0.05</v>
      </c>
      <c r="J32" s="6">
        <v>46296.0</v>
      </c>
    </row>
    <row r="33">
      <c r="A33" s="2" t="s">
        <v>133</v>
      </c>
      <c r="B33" s="2" t="s">
        <v>187</v>
      </c>
      <c r="C33" s="2" t="s">
        <v>247</v>
      </c>
      <c r="D33" s="4">
        <v>4.0</v>
      </c>
      <c r="E33" s="5" t="s">
        <v>255</v>
      </c>
      <c r="F33" s="4">
        <v>36805.0</v>
      </c>
      <c r="G33" s="4">
        <v>2220.0</v>
      </c>
      <c r="H33" s="4">
        <v>2220.0</v>
      </c>
      <c r="I33" s="4">
        <v>0.05</v>
      </c>
      <c r="J33" s="6">
        <v>46296.0</v>
      </c>
    </row>
    <row r="34">
      <c r="A34" s="2" t="s">
        <v>137</v>
      </c>
      <c r="B34" s="2" t="s">
        <v>187</v>
      </c>
      <c r="C34" s="2" t="s">
        <v>247</v>
      </c>
      <c r="D34" s="4">
        <v>4.0</v>
      </c>
      <c r="E34" s="2" t="s">
        <v>258</v>
      </c>
      <c r="F34" s="4">
        <v>41247.0</v>
      </c>
      <c r="G34" s="4">
        <v>1894.0</v>
      </c>
      <c r="H34" s="4">
        <v>1894.0</v>
      </c>
      <c r="I34" s="4">
        <v>0.05</v>
      </c>
      <c r="J34" s="6">
        <v>46296.0</v>
      </c>
    </row>
    <row r="35">
      <c r="A35" s="2" t="s">
        <v>140</v>
      </c>
      <c r="B35" s="2" t="s">
        <v>187</v>
      </c>
      <c r="C35" s="2" t="s">
        <v>247</v>
      </c>
      <c r="D35" s="4">
        <v>4.0</v>
      </c>
      <c r="E35" s="2" t="s">
        <v>261</v>
      </c>
      <c r="F35" s="4">
        <v>28050.0</v>
      </c>
      <c r="G35" s="4">
        <v>2523.0</v>
      </c>
      <c r="H35" s="4">
        <v>2523.0</v>
      </c>
      <c r="I35" s="4">
        <v>0.05</v>
      </c>
      <c r="J35" s="6">
        <v>46296.0</v>
      </c>
    </row>
    <row r="36">
      <c r="A36" s="2" t="s">
        <v>144</v>
      </c>
      <c r="B36" s="2" t="s">
        <v>187</v>
      </c>
      <c r="C36" s="2" t="s">
        <v>247</v>
      </c>
      <c r="D36" s="4">
        <v>2.0</v>
      </c>
      <c r="E36" s="2" t="s">
        <v>264</v>
      </c>
      <c r="F36" s="4">
        <v>38774.0</v>
      </c>
      <c r="G36" s="4">
        <v>2187.0</v>
      </c>
      <c r="H36" s="4">
        <v>2187.0</v>
      </c>
      <c r="I36" s="4">
        <v>0.05</v>
      </c>
      <c r="J36" s="6">
        <v>46296.0</v>
      </c>
    </row>
    <row r="37">
      <c r="A37" s="2" t="s">
        <v>147</v>
      </c>
      <c r="B37" s="2" t="s">
        <v>187</v>
      </c>
      <c r="C37" s="2" t="s">
        <v>247</v>
      </c>
      <c r="D37" s="4">
        <v>4.0</v>
      </c>
      <c r="E37" s="2" t="s">
        <v>266</v>
      </c>
      <c r="F37" s="4">
        <v>42639.0</v>
      </c>
      <c r="G37" s="4">
        <v>2328.0</v>
      </c>
      <c r="H37" s="4">
        <v>2328.0</v>
      </c>
      <c r="I37" s="4">
        <v>0.05</v>
      </c>
      <c r="J37" s="6">
        <v>46296.0</v>
      </c>
    </row>
    <row r="38">
      <c r="A38" s="2" t="s">
        <v>151</v>
      </c>
      <c r="B38" s="2" t="s">
        <v>187</v>
      </c>
      <c r="C38" s="2" t="s">
        <v>247</v>
      </c>
      <c r="D38" s="4">
        <v>4.0</v>
      </c>
      <c r="E38" s="2" t="s">
        <v>268</v>
      </c>
      <c r="F38" s="4">
        <v>47984.0</v>
      </c>
      <c r="G38" s="4">
        <v>1890.0</v>
      </c>
      <c r="H38" s="4">
        <v>1890.0</v>
      </c>
      <c r="I38" s="4">
        <v>0.05</v>
      </c>
      <c r="J38" s="6">
        <v>46296.0</v>
      </c>
    </row>
    <row r="39">
      <c r="A39" s="2" t="s">
        <v>154</v>
      </c>
      <c r="B39" s="2" t="s">
        <v>187</v>
      </c>
      <c r="C39" s="2" t="s">
        <v>247</v>
      </c>
      <c r="D39" s="4">
        <v>4.0</v>
      </c>
      <c r="E39" s="2" t="s">
        <v>270</v>
      </c>
      <c r="F39" s="4">
        <v>25084.0</v>
      </c>
      <c r="G39" s="4">
        <v>2157.0</v>
      </c>
      <c r="H39" s="4">
        <v>2157.0</v>
      </c>
      <c r="I39" s="4">
        <v>0.05</v>
      </c>
      <c r="J39" s="6">
        <v>46296.0</v>
      </c>
    </row>
    <row r="40">
      <c r="A40" s="2" t="s">
        <v>158</v>
      </c>
      <c r="B40" s="2" t="s">
        <v>187</v>
      </c>
      <c r="C40" s="2" t="s">
        <v>247</v>
      </c>
      <c r="D40" s="4">
        <v>4.0</v>
      </c>
      <c r="E40" s="2" t="s">
        <v>274</v>
      </c>
      <c r="F40" s="4">
        <v>31941.0</v>
      </c>
      <c r="G40" s="4">
        <v>1845.0</v>
      </c>
      <c r="H40" s="4">
        <v>1845.0</v>
      </c>
      <c r="I40" s="4">
        <v>0.05</v>
      </c>
      <c r="J40" s="6">
        <v>46296.0</v>
      </c>
    </row>
    <row r="41">
      <c r="A41" s="2" t="s">
        <v>161</v>
      </c>
      <c r="B41" s="2" t="s">
        <v>187</v>
      </c>
      <c r="C41" s="2" t="s">
        <v>247</v>
      </c>
      <c r="D41" s="4">
        <v>3.0</v>
      </c>
      <c r="E41" s="2" t="s">
        <v>277</v>
      </c>
      <c r="F41" s="4">
        <v>24971.0</v>
      </c>
      <c r="G41" s="4">
        <v>2251.0</v>
      </c>
      <c r="H41" s="4">
        <v>2251.0</v>
      </c>
      <c r="I41" s="4">
        <v>0.05</v>
      </c>
      <c r="J41" s="6">
        <v>46296.0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 customWidth="1" min="5" max="5" width="43.25"/>
  </cols>
  <sheetData>
    <row r="1">
      <c r="A1" s="2" t="s">
        <v>0</v>
      </c>
      <c r="B1" s="2" t="s">
        <v>178</v>
      </c>
      <c r="C1" s="2" t="s">
        <v>179</v>
      </c>
      <c r="D1" s="2" t="s">
        <v>180</v>
      </c>
      <c r="E1" s="2" t="s">
        <v>181</v>
      </c>
      <c r="F1" s="2" t="s">
        <v>182</v>
      </c>
      <c r="G1" s="2" t="s">
        <v>183</v>
      </c>
      <c r="H1" s="2" t="s">
        <v>184</v>
      </c>
      <c r="I1" s="2" t="s">
        <v>185</v>
      </c>
      <c r="J1" s="2" t="s">
        <v>186</v>
      </c>
    </row>
    <row r="2">
      <c r="A2" s="2" t="s">
        <v>7</v>
      </c>
      <c r="B2" s="2" t="s">
        <v>191</v>
      </c>
      <c r="C2" s="2" t="s">
        <v>192</v>
      </c>
      <c r="D2" s="4">
        <v>3.0</v>
      </c>
      <c r="E2" s="2" t="s">
        <v>194</v>
      </c>
      <c r="F2" s="4">
        <v>522.0</v>
      </c>
      <c r="G2" s="4">
        <v>2109.0</v>
      </c>
      <c r="H2" s="4">
        <v>2109.0</v>
      </c>
      <c r="I2" s="4">
        <v>0.005</v>
      </c>
      <c r="J2" s="6">
        <v>46303.0</v>
      </c>
    </row>
    <row r="3">
      <c r="A3" s="2" t="s">
        <v>14</v>
      </c>
      <c r="B3" s="2" t="s">
        <v>191</v>
      </c>
      <c r="C3" s="2" t="s">
        <v>192</v>
      </c>
      <c r="D3" s="4">
        <v>3.0</v>
      </c>
      <c r="E3" s="2" t="s">
        <v>197</v>
      </c>
      <c r="F3" s="4">
        <v>885.0</v>
      </c>
      <c r="G3" s="4">
        <v>1963.0</v>
      </c>
      <c r="H3" s="4">
        <v>1963.0</v>
      </c>
      <c r="I3" s="4">
        <v>0.005</v>
      </c>
      <c r="J3" s="6">
        <v>46303.0</v>
      </c>
    </row>
    <row r="4">
      <c r="A4" s="2" t="s">
        <v>18</v>
      </c>
      <c r="B4" s="2" t="s">
        <v>191</v>
      </c>
      <c r="C4" s="2" t="s">
        <v>192</v>
      </c>
      <c r="D4" s="4">
        <v>3.0</v>
      </c>
      <c r="E4" s="2" t="s">
        <v>199</v>
      </c>
      <c r="F4" s="4">
        <v>641.0</v>
      </c>
      <c r="G4" s="4">
        <v>2138.0</v>
      </c>
      <c r="H4" s="4">
        <v>2138.0</v>
      </c>
      <c r="I4" s="4">
        <v>0.005</v>
      </c>
      <c r="J4" s="6">
        <v>46303.0</v>
      </c>
    </row>
    <row r="5">
      <c r="A5" s="2" t="s">
        <v>22</v>
      </c>
      <c r="B5" s="2" t="s">
        <v>191</v>
      </c>
      <c r="C5" s="2" t="s">
        <v>192</v>
      </c>
      <c r="D5" s="4">
        <v>3.0</v>
      </c>
      <c r="E5" s="2" t="s">
        <v>201</v>
      </c>
      <c r="F5" s="4">
        <v>495.0</v>
      </c>
      <c r="G5" s="4">
        <v>2041.0</v>
      </c>
      <c r="H5" s="4">
        <v>2041.0</v>
      </c>
      <c r="I5" s="4">
        <v>0.005</v>
      </c>
      <c r="J5" s="6">
        <v>46303.0</v>
      </c>
    </row>
    <row r="6">
      <c r="A6" s="2" t="s">
        <v>26</v>
      </c>
      <c r="B6" s="2" t="s">
        <v>191</v>
      </c>
      <c r="C6" s="2" t="s">
        <v>192</v>
      </c>
      <c r="D6" s="4">
        <v>4.0</v>
      </c>
      <c r="E6" s="2" t="s">
        <v>196</v>
      </c>
      <c r="F6" s="4">
        <v>544.0</v>
      </c>
      <c r="G6" s="4">
        <v>1560.0</v>
      </c>
      <c r="H6" s="4">
        <v>1560.0</v>
      </c>
      <c r="I6" s="4">
        <v>0.005</v>
      </c>
      <c r="J6" s="6">
        <v>46303.0</v>
      </c>
    </row>
    <row r="7">
      <c r="A7" s="2" t="s">
        <v>30</v>
      </c>
      <c r="B7" s="2" t="s">
        <v>191</v>
      </c>
      <c r="C7" s="2" t="s">
        <v>192</v>
      </c>
      <c r="D7" s="4">
        <v>3.0</v>
      </c>
      <c r="E7" s="2" t="s">
        <v>205</v>
      </c>
      <c r="F7" s="4">
        <v>516.0</v>
      </c>
      <c r="G7" s="4">
        <v>1694.0</v>
      </c>
      <c r="H7" s="4">
        <v>1694.0</v>
      </c>
      <c r="I7" s="4">
        <v>0.005</v>
      </c>
      <c r="J7" s="6">
        <v>46303.0</v>
      </c>
    </row>
    <row r="8">
      <c r="A8" s="2" t="s">
        <v>33</v>
      </c>
      <c r="B8" s="2" t="s">
        <v>191</v>
      </c>
      <c r="C8" s="2" t="s">
        <v>192</v>
      </c>
      <c r="D8" s="4">
        <v>3.0</v>
      </c>
      <c r="E8" s="2" t="s">
        <v>207</v>
      </c>
      <c r="F8" s="4">
        <v>727.0</v>
      </c>
      <c r="G8" s="4">
        <v>2114.0</v>
      </c>
      <c r="H8" s="4">
        <v>2114.0</v>
      </c>
      <c r="I8" s="4">
        <v>0.005</v>
      </c>
      <c r="J8" s="6">
        <v>46303.0</v>
      </c>
    </row>
    <row r="9">
      <c r="A9" s="2" t="s">
        <v>37</v>
      </c>
      <c r="B9" s="2" t="s">
        <v>191</v>
      </c>
      <c r="C9" s="2" t="s">
        <v>192</v>
      </c>
      <c r="D9" s="4">
        <v>5.0</v>
      </c>
      <c r="E9" s="2" t="s">
        <v>202</v>
      </c>
      <c r="F9" s="4">
        <v>510.0</v>
      </c>
      <c r="G9" s="4">
        <v>2296.0</v>
      </c>
      <c r="H9" s="4">
        <v>2296.0</v>
      </c>
      <c r="I9" s="4">
        <v>0.005</v>
      </c>
      <c r="J9" s="6">
        <v>46303.0</v>
      </c>
    </row>
    <row r="10">
      <c r="A10" s="2" t="s">
        <v>43</v>
      </c>
      <c r="B10" s="2" t="s">
        <v>191</v>
      </c>
      <c r="C10" s="2" t="s">
        <v>192</v>
      </c>
      <c r="D10" s="4">
        <v>4.0</v>
      </c>
      <c r="E10" s="2" t="s">
        <v>210</v>
      </c>
      <c r="F10" s="4">
        <v>955.0</v>
      </c>
      <c r="G10" s="4">
        <v>1834.0</v>
      </c>
      <c r="H10" s="4">
        <v>1834.0</v>
      </c>
      <c r="I10" s="4">
        <v>0.005</v>
      </c>
      <c r="J10" s="6">
        <v>46303.0</v>
      </c>
    </row>
    <row r="11">
      <c r="A11" s="2" t="s">
        <v>46</v>
      </c>
      <c r="B11" s="2" t="s">
        <v>191</v>
      </c>
      <c r="C11" s="2" t="s">
        <v>192</v>
      </c>
      <c r="D11" s="4">
        <v>4.0</v>
      </c>
      <c r="E11" s="2" t="s">
        <v>212</v>
      </c>
      <c r="F11" s="4">
        <v>931.0</v>
      </c>
      <c r="G11" s="4">
        <v>2105.0</v>
      </c>
      <c r="H11" s="4">
        <v>2105.0</v>
      </c>
      <c r="I11" s="4">
        <v>0.005</v>
      </c>
      <c r="J11" s="6">
        <v>46303.0</v>
      </c>
    </row>
    <row r="12">
      <c r="A12" s="2" t="s">
        <v>51</v>
      </c>
      <c r="B12" s="2" t="s">
        <v>191</v>
      </c>
      <c r="C12" s="2" t="s">
        <v>192</v>
      </c>
      <c r="D12" s="4">
        <v>3.0</v>
      </c>
      <c r="E12" s="2" t="s">
        <v>214</v>
      </c>
      <c r="F12" s="4">
        <v>680.0</v>
      </c>
      <c r="G12" s="4">
        <v>2031.0</v>
      </c>
      <c r="H12" s="4">
        <v>2031.0</v>
      </c>
      <c r="I12" s="4">
        <v>0.005</v>
      </c>
      <c r="J12" s="6">
        <v>46303.0</v>
      </c>
    </row>
    <row r="13">
      <c r="A13" s="2" t="s">
        <v>55</v>
      </c>
      <c r="B13" s="2" t="s">
        <v>191</v>
      </c>
      <c r="C13" s="2" t="s">
        <v>192</v>
      </c>
      <c r="D13" s="4">
        <v>3.0</v>
      </c>
      <c r="E13" s="2" t="s">
        <v>208</v>
      </c>
      <c r="F13" s="4">
        <v>719.0</v>
      </c>
      <c r="G13" s="4">
        <v>2155.0</v>
      </c>
      <c r="H13" s="4">
        <v>2155.0</v>
      </c>
      <c r="I13" s="4">
        <v>0.005</v>
      </c>
      <c r="J13" s="6">
        <v>46303.0</v>
      </c>
    </row>
    <row r="14">
      <c r="A14" s="2" t="s">
        <v>60</v>
      </c>
      <c r="B14" s="2" t="s">
        <v>191</v>
      </c>
      <c r="C14" s="2" t="s">
        <v>192</v>
      </c>
      <c r="D14" s="4">
        <v>5.0</v>
      </c>
      <c r="E14" s="2" t="s">
        <v>209</v>
      </c>
      <c r="F14" s="4">
        <v>781.0</v>
      </c>
      <c r="G14" s="4">
        <v>2011.0</v>
      </c>
      <c r="H14" s="4">
        <v>2011.0</v>
      </c>
      <c r="I14" s="4">
        <v>0.005</v>
      </c>
      <c r="J14" s="6">
        <v>46303.0</v>
      </c>
    </row>
    <row r="15">
      <c r="A15" s="2" t="s">
        <v>65</v>
      </c>
      <c r="B15" s="2" t="s">
        <v>191</v>
      </c>
      <c r="C15" s="2" t="s">
        <v>192</v>
      </c>
      <c r="D15" s="4">
        <v>2.0</v>
      </c>
      <c r="E15" s="2" t="s">
        <v>211</v>
      </c>
      <c r="F15" s="4">
        <v>484.0</v>
      </c>
      <c r="G15" s="4">
        <v>2178.0</v>
      </c>
      <c r="H15" s="4">
        <v>2178.0</v>
      </c>
      <c r="I15" s="4">
        <v>0.005</v>
      </c>
      <c r="J15" s="6">
        <v>46303.0</v>
      </c>
    </row>
    <row r="16">
      <c r="A16" s="2" t="s">
        <v>69</v>
      </c>
      <c r="B16" s="2" t="s">
        <v>191</v>
      </c>
      <c r="C16" s="2" t="s">
        <v>192</v>
      </c>
      <c r="D16" s="4">
        <v>4.0</v>
      </c>
      <c r="E16" s="2" t="s">
        <v>213</v>
      </c>
      <c r="F16" s="4">
        <v>567.0</v>
      </c>
      <c r="G16" s="4">
        <v>1968.0</v>
      </c>
      <c r="H16" s="4">
        <v>1968.0</v>
      </c>
      <c r="I16" s="4">
        <v>0.005</v>
      </c>
      <c r="J16" s="6">
        <v>46303.0</v>
      </c>
    </row>
    <row r="17">
      <c r="A17" s="2" t="s">
        <v>72</v>
      </c>
      <c r="B17" s="2" t="s">
        <v>191</v>
      </c>
      <c r="C17" s="2" t="s">
        <v>192</v>
      </c>
      <c r="D17" s="4">
        <v>5.0</v>
      </c>
      <c r="E17" s="2" t="s">
        <v>217</v>
      </c>
      <c r="F17" s="4">
        <v>764.0</v>
      </c>
      <c r="G17" s="4">
        <v>1916.0</v>
      </c>
      <c r="H17" s="4">
        <v>1916.0</v>
      </c>
      <c r="I17" s="4">
        <v>0.005</v>
      </c>
      <c r="J17" s="6">
        <v>46303.0</v>
      </c>
    </row>
    <row r="18">
      <c r="A18" s="2" t="s">
        <v>76</v>
      </c>
      <c r="B18" s="2" t="s">
        <v>191</v>
      </c>
      <c r="C18" s="2" t="s">
        <v>192</v>
      </c>
      <c r="D18" s="4">
        <v>4.0</v>
      </c>
      <c r="E18" s="2" t="s">
        <v>219</v>
      </c>
      <c r="F18" s="4">
        <v>1044.0</v>
      </c>
      <c r="G18" s="4">
        <v>1585.0</v>
      </c>
      <c r="H18" s="4">
        <v>1585.0</v>
      </c>
      <c r="I18" s="4">
        <v>0.005</v>
      </c>
      <c r="J18" s="6">
        <v>46303.0</v>
      </c>
    </row>
    <row r="19">
      <c r="A19" s="2" t="s">
        <v>80</v>
      </c>
      <c r="B19" s="2" t="s">
        <v>191</v>
      </c>
      <c r="C19" s="2" t="s">
        <v>192</v>
      </c>
      <c r="D19" s="4">
        <v>3.0</v>
      </c>
      <c r="E19" s="2" t="s">
        <v>234</v>
      </c>
      <c r="F19" s="4">
        <v>740.0</v>
      </c>
      <c r="G19" s="4">
        <v>1822.0</v>
      </c>
      <c r="H19" s="4">
        <v>1822.0</v>
      </c>
      <c r="I19" s="4">
        <v>0.005</v>
      </c>
      <c r="J19" s="6">
        <v>46303.0</v>
      </c>
    </row>
    <row r="20">
      <c r="A20" s="2" t="s">
        <v>84</v>
      </c>
      <c r="B20" s="2" t="s">
        <v>191</v>
      </c>
      <c r="C20" s="2" t="s">
        <v>192</v>
      </c>
      <c r="D20" s="4">
        <v>3.0</v>
      </c>
      <c r="E20" s="2" t="s">
        <v>237</v>
      </c>
      <c r="F20" s="4">
        <v>715.0</v>
      </c>
      <c r="G20" s="4">
        <v>2025.0</v>
      </c>
      <c r="H20" s="4">
        <v>2025.0</v>
      </c>
      <c r="I20" s="4">
        <v>0.005</v>
      </c>
      <c r="J20" s="6">
        <v>46303.0</v>
      </c>
    </row>
    <row r="21">
      <c r="A21" s="2" t="s">
        <v>88</v>
      </c>
      <c r="B21" s="2" t="s">
        <v>191</v>
      </c>
      <c r="C21" s="2" t="s">
        <v>192</v>
      </c>
      <c r="D21" s="4">
        <v>3.0</v>
      </c>
      <c r="E21" s="2" t="s">
        <v>240</v>
      </c>
      <c r="F21" s="4">
        <v>775.0</v>
      </c>
      <c r="G21" s="4">
        <v>1530.0</v>
      </c>
      <c r="H21" s="4">
        <v>1530.0</v>
      </c>
      <c r="I21" s="4">
        <v>0.005</v>
      </c>
      <c r="J21" s="6">
        <v>46303.0</v>
      </c>
    </row>
    <row r="22">
      <c r="A22" s="2" t="s">
        <v>92</v>
      </c>
      <c r="B22" s="2" t="s">
        <v>191</v>
      </c>
      <c r="C22" s="2" t="s">
        <v>192</v>
      </c>
      <c r="D22" s="4">
        <v>3.0</v>
      </c>
      <c r="E22" s="2" t="s">
        <v>245</v>
      </c>
      <c r="F22" s="4">
        <v>551.0</v>
      </c>
      <c r="G22" s="4">
        <v>2076.0</v>
      </c>
      <c r="H22" s="4">
        <v>2076.0</v>
      </c>
      <c r="I22" s="4">
        <v>0.005</v>
      </c>
      <c r="J22" s="6">
        <v>46303.0</v>
      </c>
    </row>
    <row r="23">
      <c r="A23" s="2" t="s">
        <v>96</v>
      </c>
      <c r="B23" s="2" t="s">
        <v>191</v>
      </c>
      <c r="C23" s="2" t="s">
        <v>192</v>
      </c>
      <c r="D23" s="4">
        <v>3.0</v>
      </c>
      <c r="E23" s="2" t="s">
        <v>249</v>
      </c>
      <c r="F23" s="4">
        <v>590.0</v>
      </c>
      <c r="G23" s="4">
        <v>1910.0</v>
      </c>
      <c r="H23" s="4">
        <v>1910.0</v>
      </c>
      <c r="I23" s="4">
        <v>0.005</v>
      </c>
      <c r="J23" s="6">
        <v>46303.0</v>
      </c>
    </row>
    <row r="24">
      <c r="A24" s="2" t="s">
        <v>100</v>
      </c>
      <c r="B24" s="2" t="s">
        <v>191</v>
      </c>
      <c r="C24" s="2" t="s">
        <v>192</v>
      </c>
      <c r="D24" s="4">
        <v>5.0</v>
      </c>
      <c r="E24" s="2" t="s">
        <v>231</v>
      </c>
      <c r="F24" s="4">
        <v>590.0</v>
      </c>
      <c r="G24" s="4">
        <v>1797.0</v>
      </c>
      <c r="H24" s="4">
        <v>1797.0</v>
      </c>
      <c r="I24" s="4">
        <v>0.005</v>
      </c>
      <c r="J24" s="6">
        <v>46303.0</v>
      </c>
    </row>
    <row r="25">
      <c r="A25" s="2" t="s">
        <v>105</v>
      </c>
      <c r="B25" s="2" t="s">
        <v>191</v>
      </c>
      <c r="C25" s="2" t="s">
        <v>192</v>
      </c>
      <c r="D25" s="4">
        <v>4.0</v>
      </c>
      <c r="E25" s="2" t="s">
        <v>256</v>
      </c>
      <c r="F25" s="4">
        <v>875.0</v>
      </c>
      <c r="G25" s="4">
        <v>1568.0</v>
      </c>
      <c r="H25" s="4">
        <v>1568.0</v>
      </c>
      <c r="I25" s="4">
        <v>0.005</v>
      </c>
      <c r="J25" s="6">
        <v>46303.0</v>
      </c>
    </row>
    <row r="26">
      <c r="A26" s="2" t="s">
        <v>109</v>
      </c>
      <c r="B26" s="2" t="s">
        <v>191</v>
      </c>
      <c r="C26" s="2" t="s">
        <v>192</v>
      </c>
      <c r="D26" s="4">
        <v>3.0</v>
      </c>
      <c r="E26" s="2" t="s">
        <v>260</v>
      </c>
      <c r="F26" s="4">
        <v>497.0</v>
      </c>
      <c r="G26" s="4">
        <v>2201.0</v>
      </c>
      <c r="H26" s="4">
        <v>2201.0</v>
      </c>
      <c r="I26" s="4">
        <v>0.005</v>
      </c>
      <c r="J26" s="6">
        <v>46303.0</v>
      </c>
    </row>
    <row r="27">
      <c r="A27" s="2" t="s">
        <v>112</v>
      </c>
      <c r="B27" s="2" t="s">
        <v>191</v>
      </c>
      <c r="C27" s="2" t="s">
        <v>192</v>
      </c>
      <c r="D27" s="4">
        <v>3.0</v>
      </c>
      <c r="E27" s="2" t="s">
        <v>263</v>
      </c>
      <c r="F27" s="4">
        <v>480.0</v>
      </c>
      <c r="G27" s="4">
        <v>1718.0</v>
      </c>
      <c r="H27" s="4">
        <v>1718.0</v>
      </c>
      <c r="I27" s="4">
        <v>0.005</v>
      </c>
      <c r="J27" s="6">
        <v>46303.0</v>
      </c>
    </row>
    <row r="28">
      <c r="A28" s="2" t="s">
        <v>116</v>
      </c>
      <c r="B28" s="2" t="s">
        <v>191</v>
      </c>
      <c r="C28" s="2" t="s">
        <v>192</v>
      </c>
      <c r="D28" s="4">
        <v>3.0</v>
      </c>
      <c r="E28" s="2" t="s">
        <v>242</v>
      </c>
      <c r="F28" s="4">
        <v>694.0</v>
      </c>
      <c r="G28" s="4">
        <v>1553.0</v>
      </c>
      <c r="H28" s="4">
        <v>1553.0</v>
      </c>
      <c r="I28" s="4">
        <v>0.005</v>
      </c>
      <c r="J28" s="6">
        <v>46303.0</v>
      </c>
    </row>
    <row r="29">
      <c r="A29" s="2" t="s">
        <v>119</v>
      </c>
      <c r="B29" s="2" t="s">
        <v>191</v>
      </c>
      <c r="C29" s="2" t="s">
        <v>192</v>
      </c>
      <c r="D29" s="4">
        <v>1.0</v>
      </c>
      <c r="E29" s="2" t="s">
        <v>244</v>
      </c>
      <c r="F29" s="4">
        <v>961.0</v>
      </c>
      <c r="G29" s="4">
        <v>1884.0</v>
      </c>
      <c r="H29" s="4">
        <v>1884.0</v>
      </c>
      <c r="I29" s="4">
        <v>0.005</v>
      </c>
      <c r="J29" s="6">
        <v>46303.0</v>
      </c>
    </row>
    <row r="30">
      <c r="A30" s="2" t="s">
        <v>123</v>
      </c>
      <c r="B30" s="2" t="s">
        <v>191</v>
      </c>
      <c r="C30" s="2" t="s">
        <v>271</v>
      </c>
      <c r="D30" s="4">
        <v>3.0</v>
      </c>
      <c r="E30" s="2" t="s">
        <v>272</v>
      </c>
      <c r="F30" s="4">
        <v>7455.0</v>
      </c>
      <c r="G30" s="4">
        <v>1329.0</v>
      </c>
      <c r="H30" s="4">
        <v>1329.0</v>
      </c>
      <c r="I30" s="4">
        <v>0.02</v>
      </c>
      <c r="J30" s="6">
        <v>46303.0</v>
      </c>
    </row>
    <row r="31">
      <c r="A31" s="2" t="s">
        <v>127</v>
      </c>
      <c r="B31" s="2" t="s">
        <v>191</v>
      </c>
      <c r="C31" s="2" t="s">
        <v>271</v>
      </c>
      <c r="D31" s="4">
        <v>3.0</v>
      </c>
      <c r="E31" s="2" t="s">
        <v>275</v>
      </c>
      <c r="F31" s="4">
        <v>4798.0</v>
      </c>
      <c r="G31" s="4">
        <v>1479.0</v>
      </c>
      <c r="H31" s="4">
        <v>1479.0</v>
      </c>
      <c r="I31" s="4">
        <v>0.02</v>
      </c>
      <c r="J31" s="6">
        <v>46303.0</v>
      </c>
    </row>
    <row r="32">
      <c r="A32" s="2" t="s">
        <v>130</v>
      </c>
      <c r="B32" s="2" t="s">
        <v>191</v>
      </c>
      <c r="C32" s="2" t="s">
        <v>271</v>
      </c>
      <c r="D32" s="4">
        <v>3.0</v>
      </c>
      <c r="E32" s="2" t="s">
        <v>279</v>
      </c>
      <c r="F32" s="4">
        <v>5826.0</v>
      </c>
      <c r="G32" s="4">
        <v>1591.0</v>
      </c>
      <c r="H32" s="4">
        <v>1591.0</v>
      </c>
      <c r="I32" s="4">
        <v>0.02</v>
      </c>
      <c r="J32" s="6">
        <v>46303.0</v>
      </c>
    </row>
    <row r="33">
      <c r="A33" s="2" t="s">
        <v>133</v>
      </c>
      <c r="B33" s="2" t="s">
        <v>191</v>
      </c>
      <c r="C33" s="2" t="s">
        <v>271</v>
      </c>
      <c r="D33" s="4">
        <v>3.0</v>
      </c>
      <c r="E33" s="2" t="s">
        <v>281</v>
      </c>
      <c r="F33" s="4">
        <v>6410.0</v>
      </c>
      <c r="G33" s="4">
        <v>1244.0</v>
      </c>
      <c r="H33" s="4">
        <v>1244.0</v>
      </c>
      <c r="I33" s="4">
        <v>0.02</v>
      </c>
      <c r="J33" s="6">
        <v>46303.0</v>
      </c>
    </row>
    <row r="34">
      <c r="A34" s="2" t="s">
        <v>137</v>
      </c>
      <c r="B34" s="2" t="s">
        <v>191</v>
      </c>
      <c r="C34" s="2" t="s">
        <v>271</v>
      </c>
      <c r="D34" s="4">
        <v>3.0</v>
      </c>
      <c r="E34" s="2" t="s">
        <v>284</v>
      </c>
      <c r="F34" s="4">
        <v>4913.0</v>
      </c>
      <c r="G34" s="4">
        <v>1218.0</v>
      </c>
      <c r="H34" s="4">
        <v>1218.0</v>
      </c>
      <c r="I34" s="4">
        <v>0.02</v>
      </c>
      <c r="J34" s="6">
        <v>46303.0</v>
      </c>
    </row>
    <row r="35">
      <c r="A35" s="2" t="s">
        <v>140</v>
      </c>
      <c r="B35" s="2" t="s">
        <v>191</v>
      </c>
      <c r="C35" s="2" t="s">
        <v>271</v>
      </c>
      <c r="D35" s="4">
        <v>3.0</v>
      </c>
      <c r="E35" s="2" t="s">
        <v>286</v>
      </c>
      <c r="F35" s="4">
        <v>6924.0</v>
      </c>
      <c r="G35" s="4">
        <v>915.0</v>
      </c>
      <c r="H35" s="4">
        <v>915.0</v>
      </c>
      <c r="I35" s="4">
        <v>0.02</v>
      </c>
      <c r="J35" s="6">
        <v>46303.0</v>
      </c>
    </row>
    <row r="36">
      <c r="A36" s="2" t="s">
        <v>144</v>
      </c>
      <c r="B36" s="2" t="s">
        <v>191</v>
      </c>
      <c r="C36" s="2" t="s">
        <v>271</v>
      </c>
      <c r="D36" s="4">
        <v>2.0</v>
      </c>
      <c r="E36" s="2" t="s">
        <v>289</v>
      </c>
      <c r="F36" s="4">
        <v>7559.0</v>
      </c>
      <c r="G36" s="4">
        <v>1020.0</v>
      </c>
      <c r="H36" s="4">
        <v>1020.0</v>
      </c>
      <c r="I36" s="4">
        <v>0.02</v>
      </c>
      <c r="J36" s="6">
        <v>46303.0</v>
      </c>
    </row>
    <row r="37">
      <c r="A37" s="2" t="s">
        <v>147</v>
      </c>
      <c r="B37" s="2" t="s">
        <v>191</v>
      </c>
      <c r="C37" s="2" t="s">
        <v>271</v>
      </c>
      <c r="D37" s="4">
        <v>3.0</v>
      </c>
      <c r="E37" s="2" t="s">
        <v>291</v>
      </c>
      <c r="F37" s="4">
        <v>5302.0</v>
      </c>
      <c r="G37" s="4">
        <v>1152.0</v>
      </c>
      <c r="H37" s="4">
        <v>1152.0</v>
      </c>
      <c r="I37" s="4">
        <v>0.02</v>
      </c>
      <c r="J37" s="6">
        <v>46303.0</v>
      </c>
    </row>
    <row r="38">
      <c r="A38" s="2" t="s">
        <v>151</v>
      </c>
      <c r="B38" s="2" t="s">
        <v>191</v>
      </c>
      <c r="C38" s="2" t="s">
        <v>271</v>
      </c>
      <c r="D38" s="4">
        <v>3.0</v>
      </c>
      <c r="E38" s="2" t="s">
        <v>293</v>
      </c>
      <c r="F38" s="4">
        <v>5027.0</v>
      </c>
      <c r="G38" s="4">
        <v>911.0</v>
      </c>
      <c r="H38" s="4">
        <v>911.0</v>
      </c>
      <c r="I38" s="4">
        <v>0.02</v>
      </c>
      <c r="J38" s="6">
        <v>46303.0</v>
      </c>
    </row>
    <row r="39">
      <c r="A39" s="2" t="s">
        <v>154</v>
      </c>
      <c r="B39" s="2" t="s">
        <v>191</v>
      </c>
      <c r="C39" s="2" t="s">
        <v>271</v>
      </c>
      <c r="D39" s="4">
        <v>4.0</v>
      </c>
      <c r="E39" s="2" t="s">
        <v>270</v>
      </c>
      <c r="F39" s="4">
        <v>4690.0</v>
      </c>
      <c r="G39" s="4">
        <v>1376.0</v>
      </c>
      <c r="H39" s="4">
        <v>1376.0</v>
      </c>
      <c r="I39" s="4">
        <v>0.02</v>
      </c>
      <c r="J39" s="6">
        <v>46303.0</v>
      </c>
    </row>
    <row r="40">
      <c r="A40" s="2" t="s">
        <v>158</v>
      </c>
      <c r="B40" s="2" t="s">
        <v>191</v>
      </c>
      <c r="C40" s="2" t="s">
        <v>271</v>
      </c>
      <c r="D40" s="4">
        <v>4.0</v>
      </c>
      <c r="E40" s="2" t="s">
        <v>297</v>
      </c>
      <c r="F40" s="4">
        <v>8188.0</v>
      </c>
      <c r="G40" s="4">
        <v>1081.0</v>
      </c>
      <c r="H40" s="4">
        <v>1081.0</v>
      </c>
      <c r="I40" s="4">
        <v>0.02</v>
      </c>
      <c r="J40" s="6">
        <v>46303.0</v>
      </c>
    </row>
    <row r="41">
      <c r="A41" s="2" t="s">
        <v>161</v>
      </c>
      <c r="B41" s="2" t="s">
        <v>191</v>
      </c>
      <c r="C41" s="2" t="s">
        <v>271</v>
      </c>
      <c r="D41" s="4">
        <v>4.0</v>
      </c>
      <c r="E41" s="2" t="s">
        <v>299</v>
      </c>
      <c r="F41" s="4">
        <v>8781.0</v>
      </c>
      <c r="G41" s="4">
        <v>1092.0</v>
      </c>
      <c r="H41" s="4">
        <v>1092.0</v>
      </c>
      <c r="I41" s="4">
        <v>0.02</v>
      </c>
      <c r="J41" s="6">
        <v>46303.0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 customWidth="1" min="5" max="5" width="48.13"/>
  </cols>
  <sheetData>
    <row r="1">
      <c r="A1" s="7" t="s">
        <v>0</v>
      </c>
      <c r="B1" s="7" t="s">
        <v>178</v>
      </c>
      <c r="C1" s="7" t="s">
        <v>179</v>
      </c>
      <c r="D1" s="7" t="s">
        <v>180</v>
      </c>
      <c r="E1" s="7" t="s">
        <v>181</v>
      </c>
      <c r="F1" s="7" t="s">
        <v>182</v>
      </c>
      <c r="G1" s="7" t="s">
        <v>183</v>
      </c>
      <c r="H1" s="7" t="s">
        <v>184</v>
      </c>
      <c r="I1" s="7" t="s">
        <v>185</v>
      </c>
      <c r="J1" s="7" t="s">
        <v>186</v>
      </c>
    </row>
    <row r="2">
      <c r="A2" s="7" t="s">
        <v>7</v>
      </c>
      <c r="B2" s="7" t="s">
        <v>215</v>
      </c>
      <c r="C2" s="7" t="s">
        <v>216</v>
      </c>
      <c r="D2" s="7">
        <v>2.0</v>
      </c>
      <c r="E2" s="7" t="s">
        <v>218</v>
      </c>
      <c r="F2" s="7">
        <v>1066.0</v>
      </c>
      <c r="G2" s="7">
        <v>16422.0</v>
      </c>
      <c r="H2" s="7">
        <v>6000.0</v>
      </c>
      <c r="I2" s="7">
        <v>0.007</v>
      </c>
      <c r="J2" s="3">
        <v>46318.0</v>
      </c>
    </row>
    <row r="3">
      <c r="A3" s="7" t="s">
        <v>14</v>
      </c>
      <c r="B3" s="7" t="s">
        <v>215</v>
      </c>
      <c r="C3" s="7" t="s">
        <v>216</v>
      </c>
      <c r="D3" s="7">
        <v>1.0</v>
      </c>
      <c r="E3" s="7" t="s">
        <v>220</v>
      </c>
      <c r="F3" s="7">
        <v>1678.0</v>
      </c>
      <c r="G3" s="7">
        <v>21653.0</v>
      </c>
      <c r="H3" s="7">
        <v>6000.0</v>
      </c>
      <c r="I3" s="7">
        <v>0.007</v>
      </c>
      <c r="J3" s="3">
        <v>46318.0</v>
      </c>
    </row>
    <row r="4">
      <c r="A4" s="7" t="s">
        <v>18</v>
      </c>
      <c r="B4" s="7" t="s">
        <v>215</v>
      </c>
      <c r="C4" s="7" t="s">
        <v>216</v>
      </c>
      <c r="D4" s="7">
        <v>1.0</v>
      </c>
      <c r="E4" s="7" t="s">
        <v>222</v>
      </c>
      <c r="F4" s="7">
        <v>1408.0</v>
      </c>
      <c r="G4" s="7">
        <v>32316.0</v>
      </c>
      <c r="H4" s="7">
        <v>6000.0</v>
      </c>
      <c r="I4" s="7">
        <v>0.007</v>
      </c>
      <c r="J4" s="3">
        <v>46318.0</v>
      </c>
    </row>
    <row r="5">
      <c r="A5" s="7" t="s">
        <v>22</v>
      </c>
      <c r="B5" s="7" t="s">
        <v>215</v>
      </c>
      <c r="C5" s="7" t="s">
        <v>216</v>
      </c>
      <c r="D5" s="7">
        <v>2.0</v>
      </c>
      <c r="E5" s="7" t="s">
        <v>224</v>
      </c>
      <c r="F5" s="7">
        <v>1550.0</v>
      </c>
      <c r="G5" s="7">
        <v>12637.0</v>
      </c>
      <c r="H5" s="7">
        <v>6000.0</v>
      </c>
      <c r="I5" s="7">
        <v>0.007</v>
      </c>
      <c r="J5" s="3">
        <v>46318.0</v>
      </c>
    </row>
    <row r="6">
      <c r="A6" s="7" t="s">
        <v>26</v>
      </c>
      <c r="B6" s="7" t="s">
        <v>215</v>
      </c>
      <c r="C6" s="7" t="s">
        <v>216</v>
      </c>
      <c r="D6" s="7">
        <v>1.0</v>
      </c>
      <c r="E6" s="7" t="s">
        <v>226</v>
      </c>
      <c r="F6" s="7">
        <v>1236.0</v>
      </c>
      <c r="G6" s="7">
        <v>8428.0</v>
      </c>
      <c r="H6" s="7">
        <v>6000.0</v>
      </c>
      <c r="I6" s="7">
        <v>0.007</v>
      </c>
      <c r="J6" s="3">
        <v>46318.0</v>
      </c>
    </row>
    <row r="7">
      <c r="A7" s="7" t="s">
        <v>30</v>
      </c>
      <c r="B7" s="7" t="s">
        <v>215</v>
      </c>
      <c r="C7" s="7" t="s">
        <v>216</v>
      </c>
      <c r="D7" s="7">
        <v>2.0</v>
      </c>
      <c r="E7" s="7" t="s">
        <v>228</v>
      </c>
      <c r="F7" s="7">
        <v>1101.0</v>
      </c>
      <c r="G7" s="7">
        <v>5965.0</v>
      </c>
      <c r="H7" s="7">
        <v>5965.0</v>
      </c>
      <c r="I7" s="7">
        <v>0.007</v>
      </c>
      <c r="J7" s="3">
        <v>46318.0</v>
      </c>
    </row>
    <row r="8">
      <c r="A8" s="7" t="s">
        <v>33</v>
      </c>
      <c r="B8" s="7" t="s">
        <v>215</v>
      </c>
      <c r="C8" s="7" t="s">
        <v>216</v>
      </c>
      <c r="D8" s="7">
        <v>1.0</v>
      </c>
      <c r="E8" s="7" t="s">
        <v>230</v>
      </c>
      <c r="F8" s="7">
        <v>1165.0</v>
      </c>
      <c r="G8" s="7">
        <v>11405.0</v>
      </c>
      <c r="H8" s="7">
        <v>6000.0</v>
      </c>
      <c r="I8" s="7">
        <v>0.007</v>
      </c>
      <c r="J8" s="3">
        <v>46318.0</v>
      </c>
    </row>
    <row r="9">
      <c r="A9" s="7" t="s">
        <v>37</v>
      </c>
      <c r="B9" s="7" t="s">
        <v>215</v>
      </c>
      <c r="C9" s="7" t="s">
        <v>216</v>
      </c>
      <c r="D9" s="7">
        <v>1.0</v>
      </c>
      <c r="E9" s="7" t="s">
        <v>232</v>
      </c>
      <c r="F9" s="7">
        <v>1268.0</v>
      </c>
      <c r="G9" s="7">
        <v>10123.0</v>
      </c>
      <c r="H9" s="7">
        <v>6000.0</v>
      </c>
      <c r="I9" s="7">
        <v>0.007</v>
      </c>
      <c r="J9" s="3">
        <v>46318.0</v>
      </c>
    </row>
    <row r="10">
      <c r="A10" s="7" t="s">
        <v>43</v>
      </c>
      <c r="B10" s="7" t="s">
        <v>215</v>
      </c>
      <c r="C10" s="7" t="s">
        <v>216</v>
      </c>
      <c r="D10" s="7">
        <v>5.0</v>
      </c>
      <c r="E10" s="7" t="s">
        <v>235</v>
      </c>
      <c r="F10" s="7">
        <v>1310.0</v>
      </c>
      <c r="G10" s="7">
        <v>20111.0</v>
      </c>
      <c r="H10" s="7">
        <v>6000.0</v>
      </c>
      <c r="I10" s="7">
        <v>0.007</v>
      </c>
      <c r="J10" s="3">
        <v>46318.0</v>
      </c>
    </row>
    <row r="11">
      <c r="A11" s="7" t="s">
        <v>46</v>
      </c>
      <c r="B11" s="7" t="s">
        <v>215</v>
      </c>
      <c r="C11" s="7" t="s">
        <v>216</v>
      </c>
      <c r="D11" s="7">
        <v>5.0</v>
      </c>
      <c r="E11" s="7" t="s">
        <v>238</v>
      </c>
      <c r="F11" s="7">
        <v>1266.0</v>
      </c>
      <c r="G11" s="7">
        <v>20051.0</v>
      </c>
      <c r="H11" s="7">
        <v>6000.0</v>
      </c>
      <c r="I11" s="7">
        <v>0.007</v>
      </c>
      <c r="J11" s="3">
        <v>46318.0</v>
      </c>
    </row>
    <row r="12">
      <c r="A12" s="7" t="s">
        <v>51</v>
      </c>
      <c r="B12" s="7" t="s">
        <v>215</v>
      </c>
      <c r="C12" s="7" t="s">
        <v>216</v>
      </c>
      <c r="D12" s="7">
        <v>3.0</v>
      </c>
      <c r="E12" s="7" t="s">
        <v>241</v>
      </c>
      <c r="F12" s="7">
        <v>2382.0</v>
      </c>
      <c r="G12" s="7">
        <v>12566.0</v>
      </c>
      <c r="H12" s="7">
        <v>6000.0</v>
      </c>
      <c r="I12" s="7">
        <v>0.007</v>
      </c>
      <c r="J12" s="3">
        <v>46318.0</v>
      </c>
    </row>
    <row r="13">
      <c r="A13" s="7" t="s">
        <v>55</v>
      </c>
      <c r="B13" s="7" t="s">
        <v>215</v>
      </c>
      <c r="C13" s="7" t="s">
        <v>216</v>
      </c>
      <c r="D13" s="7">
        <v>5.0</v>
      </c>
      <c r="E13" s="7" t="s">
        <v>243</v>
      </c>
      <c r="F13" s="7">
        <v>1291.0</v>
      </c>
      <c r="G13" s="7">
        <v>6226.0</v>
      </c>
      <c r="H13" s="7">
        <v>6000.0</v>
      </c>
      <c r="I13" s="7">
        <v>0.007</v>
      </c>
      <c r="J13" s="3">
        <v>46318.0</v>
      </c>
    </row>
    <row r="14">
      <c r="A14" s="7" t="s">
        <v>60</v>
      </c>
      <c r="B14" s="7" t="s">
        <v>215</v>
      </c>
      <c r="C14" s="7" t="s">
        <v>216</v>
      </c>
      <c r="D14" s="7">
        <v>2.0</v>
      </c>
      <c r="E14" s="7" t="s">
        <v>246</v>
      </c>
      <c r="F14" s="7">
        <v>1187.0</v>
      </c>
      <c r="G14" s="7">
        <v>13095.0</v>
      </c>
      <c r="H14" s="7">
        <v>6000.0</v>
      </c>
      <c r="I14" s="7">
        <v>0.007</v>
      </c>
      <c r="J14" s="3">
        <v>46318.0</v>
      </c>
    </row>
    <row r="15">
      <c r="A15" s="7" t="s">
        <v>65</v>
      </c>
      <c r="B15" s="7" t="s">
        <v>215</v>
      </c>
      <c r="C15" s="7" t="s">
        <v>216</v>
      </c>
      <c r="D15" s="7">
        <v>1.0</v>
      </c>
      <c r="E15" s="7" t="s">
        <v>211</v>
      </c>
      <c r="F15" s="7">
        <v>1600.0</v>
      </c>
      <c r="G15" s="7">
        <v>14557.0</v>
      </c>
      <c r="H15" s="7">
        <v>6000.0</v>
      </c>
      <c r="I15" s="7">
        <v>0.007</v>
      </c>
      <c r="J15" s="3">
        <v>46318.0</v>
      </c>
    </row>
    <row r="16">
      <c r="A16" s="7" t="s">
        <v>69</v>
      </c>
      <c r="B16" s="7" t="s">
        <v>215</v>
      </c>
      <c r="C16" s="7" t="s">
        <v>216</v>
      </c>
      <c r="D16" s="7">
        <v>5.0</v>
      </c>
      <c r="E16" s="7" t="s">
        <v>251</v>
      </c>
      <c r="F16" s="7">
        <v>1800.0</v>
      </c>
      <c r="G16" s="7">
        <v>30066.0</v>
      </c>
      <c r="H16" s="7">
        <v>6000.0</v>
      </c>
      <c r="I16" s="7">
        <v>0.007</v>
      </c>
      <c r="J16" s="3">
        <v>46318.0</v>
      </c>
    </row>
    <row r="17">
      <c r="A17" s="7" t="s">
        <v>72</v>
      </c>
      <c r="B17" s="7" t="s">
        <v>215</v>
      </c>
      <c r="C17" s="7" t="s">
        <v>216</v>
      </c>
      <c r="D17" s="7">
        <v>5.0</v>
      </c>
      <c r="E17" s="7" t="s">
        <v>252</v>
      </c>
      <c r="F17" s="7">
        <v>2458.0</v>
      </c>
      <c r="G17" s="7">
        <v>23120.0</v>
      </c>
      <c r="H17" s="7">
        <v>6000.0</v>
      </c>
      <c r="I17" s="7">
        <v>0.007</v>
      </c>
      <c r="J17" s="3">
        <v>46318.0</v>
      </c>
    </row>
    <row r="18">
      <c r="A18" s="7" t="s">
        <v>76</v>
      </c>
      <c r="B18" s="7" t="s">
        <v>215</v>
      </c>
      <c r="C18" s="7" t="s">
        <v>216</v>
      </c>
      <c r="D18" s="7">
        <v>5.0</v>
      </c>
      <c r="E18" s="7" t="s">
        <v>254</v>
      </c>
      <c r="F18" s="7">
        <v>1099.0</v>
      </c>
      <c r="G18" s="7">
        <v>44641.0</v>
      </c>
      <c r="H18" s="7">
        <v>6000.0</v>
      </c>
      <c r="I18" s="7">
        <v>0.007</v>
      </c>
      <c r="J18" s="3">
        <v>46318.0</v>
      </c>
    </row>
    <row r="19">
      <c r="A19" s="7" t="s">
        <v>80</v>
      </c>
      <c r="B19" s="7" t="s">
        <v>215</v>
      </c>
      <c r="C19" s="7" t="s">
        <v>216</v>
      </c>
      <c r="D19" s="7">
        <v>4.0</v>
      </c>
      <c r="E19" s="7" t="s">
        <v>257</v>
      </c>
      <c r="F19" s="7">
        <v>1011.0</v>
      </c>
      <c r="G19" s="7">
        <v>29357.0</v>
      </c>
      <c r="H19" s="7">
        <v>6000.0</v>
      </c>
      <c r="I19" s="7">
        <v>0.007</v>
      </c>
      <c r="J19" s="3">
        <v>46318.0</v>
      </c>
    </row>
    <row r="20">
      <c r="A20" s="7" t="s">
        <v>84</v>
      </c>
      <c r="B20" s="7" t="s">
        <v>215</v>
      </c>
      <c r="C20" s="7" t="s">
        <v>216</v>
      </c>
      <c r="D20" s="7">
        <v>2.0</v>
      </c>
      <c r="E20" s="7" t="s">
        <v>259</v>
      </c>
      <c r="F20" s="7">
        <v>1304.0</v>
      </c>
      <c r="G20" s="7">
        <v>62129.0</v>
      </c>
      <c r="H20" s="7">
        <v>6000.0</v>
      </c>
      <c r="I20" s="7">
        <v>0.007</v>
      </c>
      <c r="J20" s="3">
        <v>46318.0</v>
      </c>
    </row>
    <row r="21">
      <c r="A21" s="7" t="s">
        <v>88</v>
      </c>
      <c r="B21" s="7" t="s">
        <v>215</v>
      </c>
      <c r="C21" s="7" t="s">
        <v>216</v>
      </c>
      <c r="D21" s="7">
        <v>5.0</v>
      </c>
      <c r="E21" s="7" t="s">
        <v>262</v>
      </c>
      <c r="F21" s="7">
        <v>1063.0</v>
      </c>
      <c r="G21" s="7">
        <v>23747.0</v>
      </c>
      <c r="H21" s="7">
        <v>6000.0</v>
      </c>
      <c r="I21" s="7">
        <v>0.007</v>
      </c>
      <c r="J21" s="3">
        <v>46318.0</v>
      </c>
    </row>
    <row r="22">
      <c r="A22" s="7" t="s">
        <v>92</v>
      </c>
      <c r="B22" s="7" t="s">
        <v>215</v>
      </c>
      <c r="C22" s="7" t="s">
        <v>216</v>
      </c>
      <c r="D22" s="7">
        <v>3.0</v>
      </c>
      <c r="E22" s="7" t="s">
        <v>265</v>
      </c>
      <c r="F22" s="7">
        <v>969.0</v>
      </c>
      <c r="G22" s="7">
        <v>32605.0</v>
      </c>
      <c r="H22" s="7">
        <v>6000.0</v>
      </c>
      <c r="I22" s="7">
        <v>0.007</v>
      </c>
      <c r="J22" s="3">
        <v>46318.0</v>
      </c>
    </row>
    <row r="23">
      <c r="A23" s="7" t="s">
        <v>96</v>
      </c>
      <c r="B23" s="7" t="s">
        <v>215</v>
      </c>
      <c r="C23" s="7" t="s">
        <v>216</v>
      </c>
      <c r="D23" s="7">
        <v>2.0</v>
      </c>
      <c r="E23" s="7" t="s">
        <v>267</v>
      </c>
      <c r="F23" s="7">
        <v>2762.0</v>
      </c>
      <c r="G23" s="7">
        <v>34975.0</v>
      </c>
      <c r="H23" s="7">
        <v>6000.0</v>
      </c>
      <c r="I23" s="7">
        <v>0.007</v>
      </c>
      <c r="J23" s="3">
        <v>46318.0</v>
      </c>
    </row>
    <row r="24">
      <c r="A24" s="7" t="s">
        <v>100</v>
      </c>
      <c r="B24" s="7" t="s">
        <v>215</v>
      </c>
      <c r="C24" s="7" t="s">
        <v>216</v>
      </c>
      <c r="D24" s="7">
        <v>5.0</v>
      </c>
      <c r="E24" s="7" t="s">
        <v>269</v>
      </c>
      <c r="F24" s="7">
        <v>1217.0</v>
      </c>
      <c r="G24" s="7">
        <v>18279.0</v>
      </c>
      <c r="H24" s="7">
        <v>6000.0</v>
      </c>
      <c r="I24" s="7">
        <v>0.007</v>
      </c>
      <c r="J24" s="3">
        <v>46318.0</v>
      </c>
    </row>
    <row r="25">
      <c r="A25" s="7" t="s">
        <v>105</v>
      </c>
      <c r="B25" s="7" t="s">
        <v>215</v>
      </c>
      <c r="C25" s="7" t="s">
        <v>216</v>
      </c>
      <c r="D25" s="7">
        <v>5.0</v>
      </c>
      <c r="E25" s="7" t="s">
        <v>273</v>
      </c>
      <c r="F25" s="7">
        <v>2323.0</v>
      </c>
      <c r="G25" s="7">
        <v>19053.0</v>
      </c>
      <c r="H25" s="7">
        <v>6000.0</v>
      </c>
      <c r="I25" s="7">
        <v>0.007</v>
      </c>
      <c r="J25" s="3">
        <v>46318.0</v>
      </c>
    </row>
    <row r="26">
      <c r="A26" s="7" t="s">
        <v>109</v>
      </c>
      <c r="B26" s="7" t="s">
        <v>215</v>
      </c>
      <c r="C26" s="7" t="s">
        <v>216</v>
      </c>
      <c r="D26" s="7">
        <v>5.0</v>
      </c>
      <c r="E26" s="7" t="s">
        <v>276</v>
      </c>
      <c r="F26" s="7">
        <v>1224.0</v>
      </c>
      <c r="G26" s="7">
        <v>32671.0</v>
      </c>
      <c r="H26" s="7">
        <v>6000.0</v>
      </c>
      <c r="I26" s="7">
        <v>0.007</v>
      </c>
      <c r="J26" s="3">
        <v>46318.0</v>
      </c>
    </row>
    <row r="27">
      <c r="A27" s="7" t="s">
        <v>112</v>
      </c>
      <c r="B27" s="7" t="s">
        <v>215</v>
      </c>
      <c r="C27" s="7" t="s">
        <v>216</v>
      </c>
      <c r="D27" s="7">
        <v>1.0</v>
      </c>
      <c r="E27" s="7" t="s">
        <v>278</v>
      </c>
      <c r="F27" s="7">
        <v>2262.0</v>
      </c>
      <c r="G27" s="7">
        <v>19051.0</v>
      </c>
      <c r="H27" s="7">
        <v>6000.0</v>
      </c>
      <c r="I27" s="7">
        <v>0.007</v>
      </c>
      <c r="J27" s="3">
        <v>46318.0</v>
      </c>
    </row>
    <row r="28">
      <c r="A28" s="7" t="s">
        <v>116</v>
      </c>
      <c r="B28" s="7" t="s">
        <v>215</v>
      </c>
      <c r="C28" s="7" t="s">
        <v>216</v>
      </c>
      <c r="D28" s="7">
        <v>4.0</v>
      </c>
      <c r="E28" s="7" t="s">
        <v>280</v>
      </c>
      <c r="F28" s="7">
        <v>1229.0</v>
      </c>
      <c r="G28" s="7">
        <v>32383.0</v>
      </c>
      <c r="H28" s="7">
        <v>6000.0</v>
      </c>
      <c r="I28" s="7">
        <v>0.007</v>
      </c>
      <c r="J28" s="3">
        <v>46318.0</v>
      </c>
    </row>
    <row r="29">
      <c r="A29" s="7" t="s">
        <v>119</v>
      </c>
      <c r="B29" s="7" t="s">
        <v>215</v>
      </c>
      <c r="C29" s="7" t="s">
        <v>216</v>
      </c>
      <c r="D29" s="7">
        <v>1.0</v>
      </c>
      <c r="E29" s="7" t="s">
        <v>282</v>
      </c>
      <c r="F29" s="7">
        <v>1259.0</v>
      </c>
      <c r="G29" s="7">
        <v>15724.0</v>
      </c>
      <c r="H29" s="7">
        <v>6000.0</v>
      </c>
      <c r="I29" s="7">
        <v>0.007</v>
      </c>
      <c r="J29" s="3">
        <v>46318.0</v>
      </c>
    </row>
    <row r="30">
      <c r="A30" s="7" t="s">
        <v>123</v>
      </c>
      <c r="B30" s="7" t="s">
        <v>215</v>
      </c>
      <c r="C30" s="7" t="s">
        <v>216</v>
      </c>
      <c r="D30" s="7">
        <v>2.0</v>
      </c>
      <c r="E30" s="7" t="s">
        <v>283</v>
      </c>
      <c r="F30" s="7">
        <v>2015.0</v>
      </c>
      <c r="G30" s="7">
        <v>52328.0</v>
      </c>
      <c r="H30" s="7">
        <v>6000.0</v>
      </c>
      <c r="I30" s="7">
        <v>0.007</v>
      </c>
      <c r="J30" s="3">
        <v>46318.0</v>
      </c>
    </row>
    <row r="31">
      <c r="A31" s="7" t="s">
        <v>127</v>
      </c>
      <c r="B31" s="7" t="s">
        <v>215</v>
      </c>
      <c r="C31" s="7" t="s">
        <v>216</v>
      </c>
      <c r="D31" s="7">
        <v>2.0</v>
      </c>
      <c r="E31" s="7" t="s">
        <v>285</v>
      </c>
      <c r="F31" s="7">
        <v>3332.0</v>
      </c>
      <c r="G31" s="7">
        <v>25900.0</v>
      </c>
      <c r="H31" s="7">
        <v>6000.0</v>
      </c>
      <c r="I31" s="7">
        <v>0.007</v>
      </c>
      <c r="J31" s="3">
        <v>46318.0</v>
      </c>
    </row>
    <row r="32">
      <c r="A32" s="7" t="s">
        <v>130</v>
      </c>
      <c r="B32" s="7" t="s">
        <v>215</v>
      </c>
      <c r="C32" s="7" t="s">
        <v>216</v>
      </c>
      <c r="D32" s="7">
        <v>2.0</v>
      </c>
      <c r="E32" s="7" t="s">
        <v>287</v>
      </c>
      <c r="F32" s="7">
        <v>1434.0</v>
      </c>
      <c r="G32" s="7">
        <v>39892.0</v>
      </c>
      <c r="H32" s="7">
        <v>6000.0</v>
      </c>
      <c r="I32" s="7">
        <v>0.007</v>
      </c>
      <c r="J32" s="3">
        <v>46318.0</v>
      </c>
    </row>
    <row r="33">
      <c r="A33" s="7" t="s">
        <v>133</v>
      </c>
      <c r="B33" s="7" t="s">
        <v>215</v>
      </c>
      <c r="C33" s="7" t="s">
        <v>216</v>
      </c>
      <c r="D33" s="7">
        <v>2.0</v>
      </c>
      <c r="E33" s="7" t="s">
        <v>288</v>
      </c>
      <c r="F33" s="7">
        <v>1704.0</v>
      </c>
      <c r="G33" s="7">
        <v>22082.0</v>
      </c>
      <c r="H33" s="7">
        <v>6000.0</v>
      </c>
      <c r="I33" s="7">
        <v>0.007</v>
      </c>
      <c r="J33" s="3">
        <v>46318.0</v>
      </c>
    </row>
    <row r="34">
      <c r="A34" s="7" t="s">
        <v>137</v>
      </c>
      <c r="B34" s="7" t="s">
        <v>215</v>
      </c>
      <c r="C34" s="7" t="s">
        <v>216</v>
      </c>
      <c r="D34" s="7">
        <v>4.0</v>
      </c>
      <c r="E34" s="7" t="s">
        <v>290</v>
      </c>
      <c r="F34" s="7">
        <v>1866.0</v>
      </c>
      <c r="G34" s="7">
        <v>43621.0</v>
      </c>
      <c r="H34" s="7">
        <v>6000.0</v>
      </c>
      <c r="I34" s="7">
        <v>0.007</v>
      </c>
      <c r="J34" s="3">
        <v>46318.0</v>
      </c>
    </row>
    <row r="35">
      <c r="A35" s="7" t="s">
        <v>140</v>
      </c>
      <c r="B35" s="7" t="s">
        <v>215</v>
      </c>
      <c r="C35" s="7" t="s">
        <v>216</v>
      </c>
      <c r="D35" s="7">
        <v>5.0</v>
      </c>
      <c r="E35" s="7" t="s">
        <v>292</v>
      </c>
      <c r="F35" s="7">
        <v>2132.0</v>
      </c>
      <c r="G35" s="7">
        <v>60357.0</v>
      </c>
      <c r="H35" s="7">
        <v>6000.0</v>
      </c>
      <c r="I35" s="7">
        <v>0.007</v>
      </c>
      <c r="J35" s="3">
        <v>46318.0</v>
      </c>
    </row>
    <row r="36">
      <c r="A36" s="7" t="s">
        <v>144</v>
      </c>
      <c r="B36" s="7" t="s">
        <v>215</v>
      </c>
      <c r="C36" s="7" t="s">
        <v>216</v>
      </c>
      <c r="D36" s="7">
        <v>1.0</v>
      </c>
      <c r="E36" s="7" t="s">
        <v>294</v>
      </c>
      <c r="F36" s="7">
        <v>1442.0</v>
      </c>
      <c r="G36" s="7">
        <v>33930.0</v>
      </c>
      <c r="H36" s="7">
        <v>6000.0</v>
      </c>
      <c r="I36" s="7">
        <v>0.007</v>
      </c>
      <c r="J36" s="3">
        <v>46318.0</v>
      </c>
    </row>
    <row r="37">
      <c r="A37" s="7" t="s">
        <v>147</v>
      </c>
      <c r="B37" s="7" t="s">
        <v>215</v>
      </c>
      <c r="C37" s="7" t="s">
        <v>216</v>
      </c>
      <c r="D37" s="7">
        <v>4.0</v>
      </c>
      <c r="E37" s="7" t="s">
        <v>295</v>
      </c>
      <c r="F37" s="7">
        <v>2080.0</v>
      </c>
      <c r="G37" s="7">
        <v>45819.0</v>
      </c>
      <c r="H37" s="7">
        <v>6000.0</v>
      </c>
      <c r="I37" s="7">
        <v>0.007</v>
      </c>
      <c r="J37" s="3">
        <v>46318.0</v>
      </c>
    </row>
    <row r="38">
      <c r="A38" s="7" t="s">
        <v>151</v>
      </c>
      <c r="B38" s="7" t="s">
        <v>215</v>
      </c>
      <c r="C38" s="7" t="s">
        <v>216</v>
      </c>
      <c r="D38" s="7">
        <v>3.0</v>
      </c>
      <c r="E38" s="7" t="s">
        <v>296</v>
      </c>
      <c r="F38" s="7">
        <v>2633.0</v>
      </c>
      <c r="G38" s="7">
        <v>29460.0</v>
      </c>
      <c r="H38" s="7">
        <v>6000.0</v>
      </c>
      <c r="I38" s="7">
        <v>0.007</v>
      </c>
      <c r="J38" s="3">
        <v>46318.0</v>
      </c>
    </row>
    <row r="39">
      <c r="A39" s="7" t="s">
        <v>154</v>
      </c>
      <c r="B39" s="7" t="s">
        <v>215</v>
      </c>
      <c r="C39" s="7" t="s">
        <v>216</v>
      </c>
      <c r="D39" s="7">
        <v>4.0</v>
      </c>
      <c r="E39" s="7" t="s">
        <v>298</v>
      </c>
      <c r="F39" s="7">
        <v>3834.0</v>
      </c>
      <c r="G39" s="7">
        <v>21552.0</v>
      </c>
      <c r="H39" s="7">
        <v>6000.0</v>
      </c>
      <c r="I39" s="7">
        <v>0.007</v>
      </c>
      <c r="J39" s="3">
        <v>46318.0</v>
      </c>
    </row>
    <row r="40">
      <c r="A40" s="7" t="s">
        <v>158</v>
      </c>
      <c r="B40" s="7" t="s">
        <v>215</v>
      </c>
      <c r="C40" s="7" t="s">
        <v>216</v>
      </c>
      <c r="D40" s="7">
        <v>2.0</v>
      </c>
      <c r="E40" s="7" t="s">
        <v>300</v>
      </c>
      <c r="F40" s="7">
        <v>1529.0</v>
      </c>
      <c r="G40" s="7">
        <v>20623.0</v>
      </c>
      <c r="H40" s="7">
        <v>6000.0</v>
      </c>
      <c r="I40" s="7">
        <v>0.007</v>
      </c>
      <c r="J40" s="3">
        <v>46318.0</v>
      </c>
    </row>
    <row r="41">
      <c r="A41" s="7" t="s">
        <v>161</v>
      </c>
      <c r="B41" s="7" t="s">
        <v>215</v>
      </c>
      <c r="C41" s="7" t="s">
        <v>216</v>
      </c>
      <c r="D41" s="7">
        <v>3.0</v>
      </c>
      <c r="E41" s="7" t="s">
        <v>301</v>
      </c>
      <c r="F41" s="7">
        <v>1881.0</v>
      </c>
      <c r="G41" s="7">
        <v>12540.0</v>
      </c>
      <c r="H41" s="7">
        <v>6000.0</v>
      </c>
      <c r="I41" s="7">
        <v>0.007</v>
      </c>
      <c r="J41" s="3">
        <v>46318.0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5.0"/>
    <col customWidth="1" min="4" max="4" width="7.13"/>
    <col customWidth="1" min="5" max="5" width="73.5"/>
  </cols>
  <sheetData>
    <row r="1">
      <c r="A1" s="7" t="s">
        <v>0</v>
      </c>
      <c r="B1" s="7" t="s">
        <v>178</v>
      </c>
      <c r="C1" s="7" t="s">
        <v>179</v>
      </c>
      <c r="D1" s="7" t="s">
        <v>180</v>
      </c>
      <c r="E1" s="7" t="s">
        <v>181</v>
      </c>
      <c r="F1" s="7" t="s">
        <v>182</v>
      </c>
      <c r="G1" s="7" t="s">
        <v>183</v>
      </c>
      <c r="H1" s="7" t="s">
        <v>184</v>
      </c>
      <c r="I1" s="7" t="s">
        <v>185</v>
      </c>
      <c r="J1" s="7" t="s">
        <v>186</v>
      </c>
    </row>
    <row r="2">
      <c r="A2" s="7" t="s">
        <v>7</v>
      </c>
      <c r="B2" s="7" t="s">
        <v>215</v>
      </c>
      <c r="C2" s="7" t="s">
        <v>302</v>
      </c>
      <c r="D2" s="7">
        <v>5.0</v>
      </c>
      <c r="E2" s="7" t="s">
        <v>303</v>
      </c>
      <c r="F2" s="7">
        <v>373.6</v>
      </c>
      <c r="G2" s="7">
        <v>4558.0</v>
      </c>
      <c r="H2" s="7">
        <v>4558.0</v>
      </c>
      <c r="I2" s="7">
        <v>0.004</v>
      </c>
      <c r="J2" s="3">
        <v>46319.0</v>
      </c>
    </row>
    <row r="3">
      <c r="A3" s="7" t="s">
        <v>14</v>
      </c>
      <c r="B3" s="7" t="s">
        <v>215</v>
      </c>
      <c r="C3" s="7" t="s">
        <v>304</v>
      </c>
      <c r="D3" s="7">
        <v>5.0</v>
      </c>
      <c r="E3" s="7" t="s">
        <v>305</v>
      </c>
      <c r="F3" s="7">
        <v>380.9</v>
      </c>
      <c r="G3" s="7">
        <v>4503.0</v>
      </c>
      <c r="H3" s="7">
        <v>4503.0</v>
      </c>
      <c r="I3" s="7">
        <v>0.004</v>
      </c>
      <c r="J3" s="3">
        <v>46319.0</v>
      </c>
    </row>
    <row r="4">
      <c r="A4" s="7" t="s">
        <v>18</v>
      </c>
      <c r="B4" s="7" t="s">
        <v>215</v>
      </c>
      <c r="C4" s="7" t="s">
        <v>306</v>
      </c>
      <c r="D4" s="7">
        <v>5.0</v>
      </c>
      <c r="E4" s="7" t="s">
        <v>307</v>
      </c>
      <c r="F4" s="7">
        <v>380.1</v>
      </c>
      <c r="G4" s="7">
        <v>1553.0</v>
      </c>
      <c r="H4" s="7">
        <v>1553.0</v>
      </c>
      <c r="I4" s="7">
        <v>0.004</v>
      </c>
      <c r="J4" s="3">
        <v>46319.0</v>
      </c>
    </row>
    <row r="5">
      <c r="A5" s="7" t="s">
        <v>22</v>
      </c>
      <c r="B5" s="7" t="s">
        <v>215</v>
      </c>
      <c r="C5" s="7" t="s">
        <v>308</v>
      </c>
      <c r="D5" s="7">
        <v>5.0</v>
      </c>
      <c r="E5" s="7" t="s">
        <v>309</v>
      </c>
      <c r="F5" s="7">
        <v>392.6</v>
      </c>
      <c r="G5" s="7">
        <v>4501.0</v>
      </c>
      <c r="H5" s="7">
        <v>4501.0</v>
      </c>
      <c r="I5" s="7">
        <v>0.004</v>
      </c>
      <c r="J5" s="3">
        <v>46319.0</v>
      </c>
    </row>
    <row r="6">
      <c r="A6" s="7" t="s">
        <v>26</v>
      </c>
      <c r="B6" s="7" t="s">
        <v>215</v>
      </c>
      <c r="C6" s="7" t="s">
        <v>310</v>
      </c>
      <c r="D6" s="7">
        <v>5.0</v>
      </c>
      <c r="E6" s="7" t="s">
        <v>311</v>
      </c>
      <c r="F6" s="7">
        <v>385.0</v>
      </c>
      <c r="G6" s="7">
        <v>4504.0</v>
      </c>
      <c r="H6" s="7">
        <v>4504.0</v>
      </c>
      <c r="I6" s="7">
        <v>0.004</v>
      </c>
      <c r="J6" s="3">
        <v>46319.0</v>
      </c>
    </row>
    <row r="7">
      <c r="A7" s="7" t="s">
        <v>30</v>
      </c>
      <c r="B7" s="7" t="s">
        <v>215</v>
      </c>
      <c r="C7" s="7" t="s">
        <v>312</v>
      </c>
      <c r="D7" s="7">
        <v>5.0</v>
      </c>
      <c r="E7" s="7" t="s">
        <v>313</v>
      </c>
      <c r="F7" s="7">
        <v>371.9</v>
      </c>
      <c r="G7" s="7">
        <v>1513.0</v>
      </c>
      <c r="H7" s="7">
        <v>1513.0</v>
      </c>
      <c r="I7" s="7">
        <v>0.004</v>
      </c>
      <c r="J7" s="3">
        <v>46319.0</v>
      </c>
    </row>
    <row r="8">
      <c r="A8" s="7" t="s">
        <v>33</v>
      </c>
      <c r="B8" s="7" t="s">
        <v>215</v>
      </c>
      <c r="C8" s="7" t="s">
        <v>314</v>
      </c>
      <c r="D8" s="7">
        <v>4.0</v>
      </c>
      <c r="E8" s="7" t="s">
        <v>315</v>
      </c>
      <c r="F8" s="7">
        <v>361.5</v>
      </c>
      <c r="G8" s="7">
        <v>4503.0</v>
      </c>
      <c r="H8" s="7">
        <v>4503.0</v>
      </c>
      <c r="I8" s="7">
        <v>0.004</v>
      </c>
      <c r="J8" s="3">
        <v>46319.0</v>
      </c>
    </row>
    <row r="9">
      <c r="A9" s="7" t="s">
        <v>37</v>
      </c>
      <c r="B9" s="7" t="s">
        <v>215</v>
      </c>
      <c r="C9" s="7" t="s">
        <v>316</v>
      </c>
      <c r="D9" s="7">
        <v>5.0</v>
      </c>
      <c r="E9" s="7" t="s">
        <v>317</v>
      </c>
      <c r="F9" s="7">
        <v>294.9</v>
      </c>
      <c r="G9" s="7">
        <v>3072.0</v>
      </c>
      <c r="H9" s="7">
        <v>3072.0</v>
      </c>
      <c r="I9" s="7">
        <v>0.004</v>
      </c>
      <c r="J9" s="3">
        <v>46319.0</v>
      </c>
    </row>
    <row r="10">
      <c r="A10" s="7" t="s">
        <v>43</v>
      </c>
      <c r="B10" s="7" t="s">
        <v>215</v>
      </c>
      <c r="C10" s="7" t="s">
        <v>318</v>
      </c>
      <c r="D10" s="7">
        <v>5.0</v>
      </c>
      <c r="E10" s="7" t="s">
        <v>319</v>
      </c>
      <c r="F10" s="7">
        <v>324.9</v>
      </c>
      <c r="G10" s="7">
        <v>3170.0</v>
      </c>
      <c r="H10" s="7">
        <v>3170.0</v>
      </c>
      <c r="I10" s="7">
        <v>0.004</v>
      </c>
      <c r="J10" s="3">
        <v>46319.0</v>
      </c>
    </row>
    <row r="11">
      <c r="A11" s="7" t="s">
        <v>46</v>
      </c>
      <c r="B11" s="7" t="s">
        <v>215</v>
      </c>
      <c r="C11" s="7" t="s">
        <v>320</v>
      </c>
      <c r="D11" s="7">
        <v>5.0</v>
      </c>
      <c r="E11" s="7" t="s">
        <v>321</v>
      </c>
      <c r="F11" s="7">
        <v>333.3</v>
      </c>
      <c r="G11" s="7">
        <v>1429.0</v>
      </c>
      <c r="H11" s="7">
        <v>1429.0</v>
      </c>
      <c r="I11" s="7">
        <v>0.004</v>
      </c>
      <c r="J11" s="3">
        <v>46319.0</v>
      </c>
    </row>
    <row r="12">
      <c r="A12" s="7" t="s">
        <v>51</v>
      </c>
      <c r="B12" s="7" t="s">
        <v>215</v>
      </c>
      <c r="C12" s="7" t="s">
        <v>322</v>
      </c>
      <c r="D12" s="7">
        <v>5.0</v>
      </c>
      <c r="E12" s="7" t="s">
        <v>323</v>
      </c>
      <c r="F12" s="7">
        <v>356.8</v>
      </c>
      <c r="G12" s="7">
        <v>1563.0</v>
      </c>
      <c r="H12" s="7">
        <v>1563.0</v>
      </c>
      <c r="I12" s="7">
        <v>0.004</v>
      </c>
      <c r="J12" s="3">
        <v>46319.0</v>
      </c>
    </row>
    <row r="13">
      <c r="A13" s="7" t="s">
        <v>55</v>
      </c>
      <c r="B13" s="7" t="s">
        <v>215</v>
      </c>
      <c r="C13" s="7" t="s">
        <v>324</v>
      </c>
      <c r="D13" s="7">
        <v>5.0</v>
      </c>
      <c r="E13" s="7" t="s">
        <v>325</v>
      </c>
      <c r="F13" s="7">
        <v>335.4</v>
      </c>
      <c r="G13" s="7">
        <v>3742.0</v>
      </c>
      <c r="H13" s="7">
        <v>3742.0</v>
      </c>
      <c r="I13" s="7">
        <v>0.004</v>
      </c>
      <c r="J13" s="3">
        <v>46319.0</v>
      </c>
    </row>
    <row r="14">
      <c r="A14" s="7" t="s">
        <v>60</v>
      </c>
      <c r="B14" s="7" t="s">
        <v>215</v>
      </c>
      <c r="C14" s="7" t="s">
        <v>326</v>
      </c>
      <c r="D14" s="7">
        <v>5.0</v>
      </c>
      <c r="E14" s="7" t="s">
        <v>327</v>
      </c>
      <c r="F14" s="7">
        <v>318.7</v>
      </c>
      <c r="G14" s="7">
        <v>2285.0</v>
      </c>
      <c r="H14" s="7">
        <v>2285.0</v>
      </c>
      <c r="I14" s="7">
        <v>0.004</v>
      </c>
      <c r="J14" s="3">
        <v>46319.0</v>
      </c>
    </row>
    <row r="15">
      <c r="A15" s="7" t="s">
        <v>65</v>
      </c>
      <c r="B15" s="7" t="s">
        <v>215</v>
      </c>
      <c r="C15" s="7" t="s">
        <v>328</v>
      </c>
      <c r="D15" s="7">
        <v>5.0</v>
      </c>
      <c r="E15" s="7" t="s">
        <v>329</v>
      </c>
      <c r="F15" s="7">
        <v>352.6</v>
      </c>
      <c r="G15" s="7">
        <v>3644.0</v>
      </c>
      <c r="H15" s="7">
        <v>3644.0</v>
      </c>
      <c r="I15" s="7">
        <v>0.004</v>
      </c>
      <c r="J15" s="3">
        <v>46319.0</v>
      </c>
    </row>
    <row r="16">
      <c r="A16" s="7" t="s">
        <v>69</v>
      </c>
      <c r="B16" s="7" t="s">
        <v>215</v>
      </c>
      <c r="C16" s="7" t="s">
        <v>330</v>
      </c>
      <c r="D16" s="7">
        <v>5.0</v>
      </c>
      <c r="E16" s="7" t="s">
        <v>331</v>
      </c>
      <c r="F16" s="7">
        <v>322.9</v>
      </c>
      <c r="G16" s="7">
        <v>1501.0</v>
      </c>
      <c r="H16" s="7">
        <v>1501.0</v>
      </c>
      <c r="I16" s="7">
        <v>0.004</v>
      </c>
      <c r="J16" s="3">
        <v>46319.0</v>
      </c>
    </row>
    <row r="17">
      <c r="A17" s="7" t="s">
        <v>72</v>
      </c>
      <c r="B17" s="7" t="s">
        <v>215</v>
      </c>
      <c r="C17" s="7" t="s">
        <v>332</v>
      </c>
      <c r="D17" s="7">
        <v>5.0</v>
      </c>
      <c r="E17" s="7" t="s">
        <v>333</v>
      </c>
      <c r="F17" s="7">
        <v>326.1</v>
      </c>
      <c r="G17" s="7">
        <v>3507.0</v>
      </c>
      <c r="H17" s="7">
        <v>3507.0</v>
      </c>
      <c r="I17" s="7">
        <v>0.004</v>
      </c>
      <c r="J17" s="3">
        <v>46319.0</v>
      </c>
    </row>
    <row r="18">
      <c r="A18" s="7" t="s">
        <v>76</v>
      </c>
      <c r="B18" s="7" t="s">
        <v>215</v>
      </c>
      <c r="C18" s="7" t="s">
        <v>334</v>
      </c>
      <c r="D18" s="7">
        <v>5.0</v>
      </c>
      <c r="E18" s="7" t="s">
        <v>335</v>
      </c>
      <c r="F18" s="7">
        <v>390.1</v>
      </c>
      <c r="G18" s="7">
        <v>2817.0</v>
      </c>
      <c r="H18" s="7">
        <v>2817.0</v>
      </c>
      <c r="I18" s="7">
        <v>0.004</v>
      </c>
      <c r="J18" s="3">
        <v>46319.0</v>
      </c>
    </row>
    <row r="19">
      <c r="A19" s="7" t="s">
        <v>80</v>
      </c>
      <c r="B19" s="7" t="s">
        <v>215</v>
      </c>
      <c r="C19" s="7" t="s">
        <v>336</v>
      </c>
      <c r="D19" s="7">
        <v>5.0</v>
      </c>
      <c r="E19" s="7" t="s">
        <v>337</v>
      </c>
      <c r="F19" s="7">
        <v>340.1</v>
      </c>
      <c r="G19" s="7">
        <v>1501.0</v>
      </c>
      <c r="H19" s="7">
        <v>1501.0</v>
      </c>
      <c r="I19" s="7">
        <v>0.004</v>
      </c>
      <c r="J19" s="3">
        <v>46319.0</v>
      </c>
    </row>
    <row r="20">
      <c r="A20" s="7" t="s">
        <v>84</v>
      </c>
      <c r="B20" s="7" t="s">
        <v>215</v>
      </c>
      <c r="C20" s="7" t="s">
        <v>338</v>
      </c>
      <c r="D20" s="7">
        <v>5.0</v>
      </c>
      <c r="E20" s="7" t="s">
        <v>339</v>
      </c>
      <c r="F20" s="7">
        <v>398.8</v>
      </c>
      <c r="G20" s="7">
        <v>4510.0</v>
      </c>
      <c r="H20" s="7">
        <v>4510.0</v>
      </c>
      <c r="I20" s="7">
        <v>0.004</v>
      </c>
      <c r="J20" s="3">
        <v>46319.0</v>
      </c>
    </row>
    <row r="21">
      <c r="A21" s="7" t="s">
        <v>88</v>
      </c>
      <c r="B21" s="7" t="s">
        <v>215</v>
      </c>
      <c r="C21" s="7" t="s">
        <v>340</v>
      </c>
      <c r="D21" s="7">
        <v>5.0</v>
      </c>
      <c r="E21" s="7" t="s">
        <v>341</v>
      </c>
      <c r="F21" s="7">
        <v>357.0</v>
      </c>
      <c r="G21" s="7">
        <v>3171.0</v>
      </c>
      <c r="H21" s="7">
        <v>3171.0</v>
      </c>
      <c r="I21" s="7">
        <v>0.004</v>
      </c>
      <c r="J21" s="3">
        <v>46319.0</v>
      </c>
    </row>
    <row r="22">
      <c r="A22" s="7" t="s">
        <v>92</v>
      </c>
      <c r="B22" s="7" t="s">
        <v>215</v>
      </c>
      <c r="C22" s="7" t="s">
        <v>342</v>
      </c>
      <c r="D22" s="7">
        <v>5.0</v>
      </c>
      <c r="E22" s="7" t="s">
        <v>343</v>
      </c>
      <c r="F22" s="7">
        <v>378.0</v>
      </c>
      <c r="G22" s="7">
        <v>4566.0</v>
      </c>
      <c r="H22" s="7">
        <v>4566.0</v>
      </c>
      <c r="I22" s="7">
        <v>0.004</v>
      </c>
      <c r="J22" s="3">
        <v>46319.0</v>
      </c>
    </row>
    <row r="23">
      <c r="A23" s="7" t="s">
        <v>96</v>
      </c>
      <c r="B23" s="7" t="s">
        <v>215</v>
      </c>
      <c r="C23" s="7" t="s">
        <v>344</v>
      </c>
      <c r="D23" s="7">
        <v>5.0</v>
      </c>
      <c r="E23" s="7" t="s">
        <v>345</v>
      </c>
      <c r="F23" s="7">
        <v>340.6</v>
      </c>
      <c r="G23" s="7">
        <v>1500.0</v>
      </c>
      <c r="H23" s="7">
        <v>1500.0</v>
      </c>
      <c r="I23" s="7">
        <v>0.004</v>
      </c>
      <c r="J23" s="3">
        <v>46319.0</v>
      </c>
    </row>
    <row r="24">
      <c r="A24" s="7" t="s">
        <v>100</v>
      </c>
      <c r="B24" s="7" t="s">
        <v>215</v>
      </c>
      <c r="C24" s="7" t="s">
        <v>346</v>
      </c>
      <c r="D24" s="7">
        <v>5.0</v>
      </c>
      <c r="E24" s="7" t="s">
        <v>347</v>
      </c>
      <c r="F24" s="7">
        <v>346.2</v>
      </c>
      <c r="G24" s="7">
        <v>4554.0</v>
      </c>
      <c r="H24" s="7">
        <v>4554.0</v>
      </c>
      <c r="I24" s="7">
        <v>0.004</v>
      </c>
      <c r="J24" s="3">
        <v>46319.0</v>
      </c>
    </row>
    <row r="25">
      <c r="A25" s="7" t="s">
        <v>105</v>
      </c>
      <c r="B25" s="7" t="s">
        <v>215</v>
      </c>
      <c r="C25" s="7" t="s">
        <v>348</v>
      </c>
      <c r="D25" s="7">
        <v>5.0</v>
      </c>
      <c r="E25" s="7" t="s">
        <v>349</v>
      </c>
      <c r="F25" s="7">
        <v>390.8</v>
      </c>
      <c r="G25" s="7">
        <v>3844.0</v>
      </c>
      <c r="H25" s="7">
        <v>3844.0</v>
      </c>
      <c r="I25" s="7">
        <v>0.004</v>
      </c>
      <c r="J25" s="3">
        <v>46319.0</v>
      </c>
    </row>
    <row r="26">
      <c r="A26" s="7" t="s">
        <v>109</v>
      </c>
      <c r="B26" s="7" t="s">
        <v>215</v>
      </c>
      <c r="C26" s="7" t="s">
        <v>350</v>
      </c>
      <c r="D26" s="7">
        <v>5.0</v>
      </c>
      <c r="E26" s="7" t="s">
        <v>351</v>
      </c>
      <c r="F26" s="7">
        <v>328.6</v>
      </c>
      <c r="G26" s="7">
        <v>4502.0</v>
      </c>
      <c r="H26" s="7">
        <v>4502.0</v>
      </c>
      <c r="I26" s="7">
        <v>0.004</v>
      </c>
      <c r="J26" s="3">
        <v>46319.0</v>
      </c>
    </row>
    <row r="27">
      <c r="A27" s="7" t="s">
        <v>112</v>
      </c>
      <c r="B27" s="7" t="s">
        <v>215</v>
      </c>
      <c r="C27" s="7" t="s">
        <v>352</v>
      </c>
      <c r="D27" s="7">
        <v>5.0</v>
      </c>
      <c r="E27" s="7" t="s">
        <v>353</v>
      </c>
      <c r="F27" s="7">
        <v>324.5</v>
      </c>
      <c r="G27" s="7">
        <v>1501.0</v>
      </c>
      <c r="H27" s="7">
        <v>1501.0</v>
      </c>
      <c r="I27" s="7">
        <v>0.004</v>
      </c>
      <c r="J27" s="3">
        <v>46319.0</v>
      </c>
    </row>
    <row r="28">
      <c r="A28" s="7" t="s">
        <v>116</v>
      </c>
      <c r="B28" s="7" t="s">
        <v>215</v>
      </c>
      <c r="C28" s="7" t="s">
        <v>354</v>
      </c>
      <c r="D28" s="7">
        <v>5.0</v>
      </c>
      <c r="E28" s="7" t="s">
        <v>355</v>
      </c>
      <c r="F28" s="7">
        <v>350.1</v>
      </c>
      <c r="G28" s="7">
        <v>1566.0</v>
      </c>
      <c r="H28" s="7">
        <v>1566.0</v>
      </c>
      <c r="I28" s="7">
        <v>0.004</v>
      </c>
      <c r="J28" s="3">
        <v>46319.0</v>
      </c>
    </row>
    <row r="29">
      <c r="A29" s="7" t="s">
        <v>119</v>
      </c>
      <c r="B29" s="7" t="s">
        <v>215</v>
      </c>
      <c r="C29" s="7" t="s">
        <v>356</v>
      </c>
      <c r="D29" s="7">
        <v>1.0</v>
      </c>
      <c r="E29" s="7" t="s">
        <v>357</v>
      </c>
      <c r="F29" s="7">
        <v>362.8</v>
      </c>
      <c r="G29" s="7">
        <v>1501.0</v>
      </c>
      <c r="H29" s="7">
        <v>1501.0</v>
      </c>
      <c r="I29" s="7">
        <v>0.004</v>
      </c>
      <c r="J29" s="3">
        <v>46319.0</v>
      </c>
    </row>
    <row r="30">
      <c r="A30" s="7" t="s">
        <v>123</v>
      </c>
      <c r="B30" s="7" t="s">
        <v>215</v>
      </c>
      <c r="C30" s="7" t="s">
        <v>358</v>
      </c>
      <c r="D30" s="7">
        <v>3.0</v>
      </c>
      <c r="E30" s="7" t="s">
        <v>359</v>
      </c>
      <c r="F30" s="7">
        <v>21663.2</v>
      </c>
      <c r="G30" s="7">
        <v>3002.0</v>
      </c>
      <c r="H30" s="7">
        <v>3002.0</v>
      </c>
      <c r="I30" s="7">
        <v>0.012</v>
      </c>
      <c r="J30" s="3">
        <v>46319.0</v>
      </c>
    </row>
    <row r="31">
      <c r="A31" s="7" t="s">
        <v>127</v>
      </c>
      <c r="B31" s="7" t="s">
        <v>215</v>
      </c>
      <c r="C31" s="7" t="s">
        <v>360</v>
      </c>
      <c r="D31" s="7">
        <v>3.0</v>
      </c>
      <c r="E31" s="7" t="s">
        <v>361</v>
      </c>
      <c r="F31" s="7">
        <v>13768.8</v>
      </c>
      <c r="G31" s="7">
        <v>3004.0</v>
      </c>
      <c r="H31" s="7">
        <v>3004.0</v>
      </c>
      <c r="I31" s="7">
        <v>0.012</v>
      </c>
      <c r="J31" s="3">
        <v>46319.0</v>
      </c>
    </row>
    <row r="32">
      <c r="A32" s="7" t="s">
        <v>130</v>
      </c>
      <c r="B32" s="7" t="s">
        <v>215</v>
      </c>
      <c r="C32" s="7" t="s">
        <v>362</v>
      </c>
      <c r="D32" s="7">
        <v>2.0</v>
      </c>
      <c r="E32" s="7" t="s">
        <v>363</v>
      </c>
      <c r="F32" s="7">
        <v>15232.3</v>
      </c>
      <c r="G32" s="7">
        <v>3003.0</v>
      </c>
      <c r="H32" s="7">
        <v>3003.0</v>
      </c>
      <c r="I32" s="7">
        <v>0.012</v>
      </c>
      <c r="J32" s="3">
        <v>46319.0</v>
      </c>
    </row>
    <row r="33">
      <c r="A33" s="7" t="s">
        <v>133</v>
      </c>
      <c r="B33" s="7" t="s">
        <v>215</v>
      </c>
      <c r="C33" s="7" t="s">
        <v>364</v>
      </c>
      <c r="D33" s="7">
        <v>5.0</v>
      </c>
      <c r="E33" s="7" t="s">
        <v>365</v>
      </c>
      <c r="F33" s="7">
        <v>15138.7</v>
      </c>
      <c r="G33" s="7">
        <v>3003.0</v>
      </c>
      <c r="H33" s="7">
        <v>3003.0</v>
      </c>
      <c r="I33" s="7">
        <v>0.012</v>
      </c>
      <c r="J33" s="3">
        <v>46319.0</v>
      </c>
    </row>
    <row r="34">
      <c r="A34" s="7" t="s">
        <v>137</v>
      </c>
      <c r="B34" s="7" t="s">
        <v>215</v>
      </c>
      <c r="C34" s="7" t="s">
        <v>366</v>
      </c>
      <c r="D34" s="7">
        <v>5.0</v>
      </c>
      <c r="E34" s="7" t="s">
        <v>367</v>
      </c>
      <c r="F34" s="7">
        <v>8287.2</v>
      </c>
      <c r="G34" s="7">
        <v>3003.0</v>
      </c>
      <c r="H34" s="7">
        <v>3003.0</v>
      </c>
      <c r="I34" s="7">
        <v>0.012</v>
      </c>
      <c r="J34" s="3">
        <v>46319.0</v>
      </c>
    </row>
    <row r="35">
      <c r="A35" s="7" t="s">
        <v>140</v>
      </c>
      <c r="B35" s="7" t="s">
        <v>215</v>
      </c>
      <c r="C35" s="7" t="s">
        <v>368</v>
      </c>
      <c r="D35" s="7">
        <v>5.0</v>
      </c>
      <c r="E35" s="7" t="s">
        <v>369</v>
      </c>
      <c r="F35" s="7">
        <v>10505.6</v>
      </c>
      <c r="G35" s="7">
        <v>3002.0</v>
      </c>
      <c r="H35" s="7">
        <v>3002.0</v>
      </c>
      <c r="I35" s="7">
        <v>0.012</v>
      </c>
      <c r="J35" s="3">
        <v>46319.0</v>
      </c>
    </row>
    <row r="36">
      <c r="A36" s="7" t="s">
        <v>144</v>
      </c>
      <c r="B36" s="7" t="s">
        <v>215</v>
      </c>
      <c r="C36" s="7" t="s">
        <v>370</v>
      </c>
      <c r="D36" s="7">
        <v>3.0</v>
      </c>
      <c r="E36" s="7" t="s">
        <v>371</v>
      </c>
      <c r="F36" s="7">
        <v>14086.4</v>
      </c>
      <c r="G36" s="7">
        <v>3001.0</v>
      </c>
      <c r="H36" s="7">
        <v>3001.0</v>
      </c>
      <c r="I36" s="7">
        <v>0.012</v>
      </c>
      <c r="J36" s="3">
        <v>46319.0</v>
      </c>
    </row>
    <row r="37">
      <c r="A37" s="7" t="s">
        <v>147</v>
      </c>
      <c r="B37" s="7" t="s">
        <v>215</v>
      </c>
      <c r="C37" s="7" t="s">
        <v>372</v>
      </c>
      <c r="D37" s="7">
        <v>4.0</v>
      </c>
      <c r="E37" s="7" t="s">
        <v>373</v>
      </c>
      <c r="F37" s="7">
        <v>14686.1</v>
      </c>
      <c r="G37" s="7">
        <v>3004.0</v>
      </c>
      <c r="H37" s="7">
        <v>3004.0</v>
      </c>
      <c r="I37" s="7">
        <v>0.012</v>
      </c>
      <c r="J37" s="3">
        <v>46319.0</v>
      </c>
    </row>
    <row r="38">
      <c r="A38" s="7" t="s">
        <v>151</v>
      </c>
      <c r="B38" s="7" t="s">
        <v>215</v>
      </c>
      <c r="C38" s="7" t="s">
        <v>374</v>
      </c>
      <c r="D38" s="7">
        <v>5.0</v>
      </c>
      <c r="E38" s="7" t="s">
        <v>375</v>
      </c>
      <c r="F38" s="7">
        <v>8485.9</v>
      </c>
      <c r="G38" s="7">
        <v>2834.0</v>
      </c>
      <c r="H38" s="7">
        <v>2834.0</v>
      </c>
      <c r="I38" s="7">
        <v>0.012</v>
      </c>
      <c r="J38" s="3">
        <v>46319.0</v>
      </c>
    </row>
    <row r="39">
      <c r="A39" s="7" t="s">
        <v>154</v>
      </c>
      <c r="B39" s="7" t="s">
        <v>215</v>
      </c>
      <c r="C39" s="7" t="s">
        <v>376</v>
      </c>
      <c r="D39" s="7">
        <v>4.0</v>
      </c>
      <c r="E39" s="7" t="s">
        <v>377</v>
      </c>
      <c r="F39" s="7">
        <v>8034.1</v>
      </c>
      <c r="G39" s="7">
        <v>2627.0</v>
      </c>
      <c r="H39" s="7">
        <v>2627.0</v>
      </c>
      <c r="I39" s="7">
        <v>0.012</v>
      </c>
      <c r="J39" s="3">
        <v>46319.0</v>
      </c>
    </row>
    <row r="40">
      <c r="A40" s="7" t="s">
        <v>158</v>
      </c>
      <c r="B40" s="7" t="s">
        <v>215</v>
      </c>
      <c r="C40" s="7" t="s">
        <v>378</v>
      </c>
      <c r="D40" s="7">
        <v>3.0</v>
      </c>
      <c r="E40" s="7" t="s">
        <v>379</v>
      </c>
      <c r="F40" s="7">
        <v>4096.8</v>
      </c>
      <c r="G40" s="7">
        <v>3002.0</v>
      </c>
      <c r="H40" s="7">
        <v>3002.0</v>
      </c>
      <c r="I40" s="7">
        <v>0.012</v>
      </c>
      <c r="J40" s="3">
        <v>46319.0</v>
      </c>
    </row>
    <row r="41">
      <c r="A41" s="7" t="s">
        <v>161</v>
      </c>
      <c r="B41" s="7" t="s">
        <v>215</v>
      </c>
      <c r="C41" s="7" t="s">
        <v>380</v>
      </c>
      <c r="D41" s="7">
        <v>4.0</v>
      </c>
      <c r="E41" s="7" t="s">
        <v>381</v>
      </c>
      <c r="F41" s="7">
        <v>7588.2</v>
      </c>
      <c r="G41" s="7">
        <v>2833.0</v>
      </c>
      <c r="H41" s="7">
        <v>2833.0</v>
      </c>
      <c r="I41" s="7">
        <v>0.012</v>
      </c>
      <c r="J41" s="3">
        <v>46319.0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75"/>
    <col customWidth="1" min="2" max="6" width="13.88"/>
  </cols>
  <sheetData>
    <row r="1">
      <c r="A1" s="8"/>
      <c r="B1" s="9" t="s">
        <v>187</v>
      </c>
      <c r="C1" s="9" t="s">
        <v>191</v>
      </c>
      <c r="D1" s="9" t="s">
        <v>215</v>
      </c>
      <c r="E1" s="9" t="s">
        <v>382</v>
      </c>
      <c r="F1" s="4"/>
      <c r="G1" s="2"/>
      <c r="H1" s="2"/>
      <c r="I1" s="2"/>
      <c r="J1" s="2"/>
    </row>
    <row r="2">
      <c r="A2" s="10" t="s">
        <v>383</v>
      </c>
      <c r="F2" s="4"/>
      <c r="G2" s="4"/>
      <c r="H2" s="4"/>
      <c r="I2" s="4"/>
      <c r="J2" s="6"/>
    </row>
    <row r="3">
      <c r="A3" s="11" t="s">
        <v>384</v>
      </c>
      <c r="B3" s="11">
        <f>ROUND(AVERAGE(results_vendor_b!D2:D41),2)</f>
        <v>3.75</v>
      </c>
      <c r="C3" s="4">
        <f>ROUND(AVERAGE(results_vendor_c!D2:D41),2)</f>
        <v>3.33</v>
      </c>
      <c r="D3" s="4">
        <f>ROUND(AVERAGE(results_exa!D2:D41),2)</f>
        <v>2.95</v>
      </c>
      <c r="E3" s="4">
        <f>ROUND(AVERAGE(results_exa_ft!D2:D41),2)</f>
        <v>4.53</v>
      </c>
      <c r="F3" s="4"/>
      <c r="G3" s="4"/>
      <c r="H3" s="4"/>
      <c r="I3" s="4"/>
      <c r="J3" s="6"/>
    </row>
    <row r="4">
      <c r="A4" s="11" t="s">
        <v>385</v>
      </c>
      <c r="B4" s="11">
        <f>ROUND(AVERAGEIF(queries!$D$2:$D$41,"&lt;&gt;plan",results_vendor_b!D2:D41),2)</f>
        <v>3.75</v>
      </c>
      <c r="C4" s="4">
        <f>ROUND(AVERAGEIF(queries!$D$2:$D$41,"&lt;&gt;plan",results_vendor_c!D2:D41),2)</f>
        <v>3.39</v>
      </c>
      <c r="D4" s="4">
        <f>ROUND(AVERAGEIF(queries!$D$2:$D$41,"&lt;&gt;plan",results_exa!D2:D41),2)</f>
        <v>3</v>
      </c>
      <c r="E4" s="4">
        <f>ROUND(AVERAGEIF(queries!$D$2:$D$41,"&lt;&gt;plan",results_exa_ft!D2:D41),2)</f>
        <v>4.82</v>
      </c>
      <c r="F4" s="4"/>
      <c r="G4" s="4"/>
      <c r="H4" s="4"/>
      <c r="I4" s="4"/>
      <c r="J4" s="6"/>
    </row>
    <row r="5">
      <c r="A5" s="11" t="s">
        <v>386</v>
      </c>
      <c r="B5" s="11">
        <f>ROUND(AVERAGEIF(queries!$D$2:$D$41,"plan",results_vendor_b!D2:D41),2)</f>
        <v>3.75</v>
      </c>
      <c r="C5" s="4">
        <f>ROUND(AVERAGEIF(queries!$D$2:$D$41,"plan",results_vendor_c!D2:D41),2)</f>
        <v>3.17</v>
      </c>
      <c r="D5" s="4">
        <f>ROUND(AVERAGEIF(queries!$D$2:$D$41,"plan",results_exa!D2:D41),2)</f>
        <v>2.83</v>
      </c>
      <c r="E5" s="4">
        <f>ROUND(AVERAGEIF(queries!$D$2:$D$41,"plan",results_exa_ft!D2:D41),2)</f>
        <v>3.83</v>
      </c>
      <c r="F5" s="4"/>
      <c r="G5" s="4"/>
      <c r="H5" s="4"/>
      <c r="I5" s="4"/>
      <c r="J5" s="6"/>
    </row>
    <row r="6">
      <c r="A6" s="11" t="s">
        <v>387</v>
      </c>
      <c r="B6" s="12" t="str">
        <f>TEXT(COUNTIF(results_vendor_b!D2:D41,"&gt;=4")/COUNT(results_vendor_b!D2:D41),"0.0%")</f>
        <v>72.5%</v>
      </c>
      <c r="C6" s="4" t="str">
        <f>TEXT(COUNTIF(results_vendor_c!D2:D41,"&gt;=4")/COUNT(results_vendor_c!D2:D41),"0.0%")</f>
        <v>32.5%</v>
      </c>
      <c r="D6" s="4" t="str">
        <f>TEXT(COUNTIF(results_exa!D2:D41,"&gt;=4")/COUNT(results_exa!D2:D41),"0.0%")</f>
        <v>40.0%</v>
      </c>
      <c r="E6" s="4" t="str">
        <f>TEXT(COUNTIF(results_exa_ft!D2:D41,"&gt;=4")/COUNT(results_exa_ft!D2:D41),"0.0%")</f>
        <v>85.0%</v>
      </c>
      <c r="F6" s="4"/>
      <c r="G6" s="4"/>
      <c r="H6" s="4"/>
      <c r="I6" s="4"/>
      <c r="J6" s="6"/>
    </row>
    <row r="7">
      <c r="A7" s="11" t="s">
        <v>388</v>
      </c>
      <c r="B7" s="4">
        <f>COUNTIFS(results_vendor_b!D2:D41,"&gt;=1",results_vendor_b!D2:D41,"&lt;=2")</f>
        <v>3</v>
      </c>
      <c r="C7" s="4">
        <f>COUNTIFS(results_vendor_c!D2:D41,"&gt;=1",results_vendor_c!D2:D41,"&lt;=2")</f>
        <v>3</v>
      </c>
      <c r="D7" s="4">
        <f>COUNTIFS(results_exa!D2:D41,"&gt;=1",results_exa!D2:D41,"&lt;=2")</f>
        <v>20</v>
      </c>
      <c r="E7" s="4">
        <f>COUNTIFS(results_exa_ft!D2:D41,"&gt;=1",results_exa_ft!D2:D41,"&lt;=2")</f>
        <v>2</v>
      </c>
      <c r="F7" s="4"/>
      <c r="G7" s="4"/>
      <c r="H7" s="4"/>
      <c r="I7" s="4"/>
      <c r="J7" s="6"/>
    </row>
    <row r="8">
      <c r="A8" s="10" t="s">
        <v>389</v>
      </c>
      <c r="F8" s="4"/>
      <c r="G8" s="4"/>
      <c r="H8" s="4"/>
      <c r="I8" s="4"/>
      <c r="J8" s="6"/>
    </row>
    <row r="9">
      <c r="A9" s="11" t="s">
        <v>390</v>
      </c>
      <c r="B9" s="11">
        <f>IFERROR(__xludf.DUMMYFUNCTION("ROUND(MEDIAN(FILTER(results_vendor_b!F2:F41,queries!$D$2:$D$41&lt;&gt;""plan"")),0)"),651.0)</f>
        <v>651</v>
      </c>
      <c r="C9" s="4">
        <f>IFERROR(__xludf.DUMMYFUNCTION("ROUND(MEDIAN(FILTER(results_vendor_c!F2:F41,queries!$D$2:$D$41&lt;&gt;""plan"")),0)"),687.0)</f>
        <v>687</v>
      </c>
      <c r="D9" s="4">
        <f>IFERROR(__xludf.DUMMYFUNCTION("ROUND(MEDIAN(FILTER(results_exa!F2:F41,queries!$D$2:$D$41&lt;&gt;""plan"")),0)"),1267.0)</f>
        <v>1267</v>
      </c>
      <c r="E9" s="4">
        <f>IFERROR(__xludf.DUMMYFUNCTION("ROUND(MEDIAN(FILTER(results_exa_ft!F2:F41,queries!$D$2:$D$41&lt;&gt;""plan"")),0)"),355.0)</f>
        <v>355</v>
      </c>
      <c r="F9" s="4"/>
      <c r="G9" s="4"/>
      <c r="H9" s="4"/>
      <c r="I9" s="4"/>
      <c r="J9" s="6"/>
    </row>
    <row r="10">
      <c r="A10" s="11" t="s">
        <v>391</v>
      </c>
      <c r="B10" s="11">
        <f>IFERROR(__xludf.DUMMYFUNCTION("ROUND(PERCENTILE(FILTER(results_vendor_b!F2:F41,queries!$D$2:$D$41&lt;&gt;""plan""),0.95),0)"),1084.0)</f>
        <v>1084</v>
      </c>
      <c r="C10" s="4">
        <f>IFERROR(__xludf.DUMMYFUNCTION("ROUND(PERCENTILE(FILTER(results_vendor_c!F2:F41,queries!$D$2:$D$41&lt;&gt;""plan""),0.95),0)"),959.0)</f>
        <v>959</v>
      </c>
      <c r="D10" s="4">
        <f>IFERROR(__xludf.DUMMYFUNCTION("ROUND(PERCENTILE(FILTER(results_exa!F2:F41,queries!$D$2:$D$41&lt;&gt;""plan""),0.95),0)"),2431.0)</f>
        <v>2431</v>
      </c>
      <c r="E10" s="4">
        <f>IFERROR(__xludf.DUMMYFUNCTION("ROUND(PERCENTILE(FILTER(results_exa_ft!F2:F41,queries!$D$2:$D$41&lt;&gt;""plan""),0.95),0)"),392.0)</f>
        <v>392</v>
      </c>
      <c r="F10" s="4"/>
      <c r="G10" s="4"/>
      <c r="H10" s="4"/>
      <c r="I10" s="4"/>
      <c r="J10" s="6"/>
    </row>
    <row r="11">
      <c r="A11" s="11" t="s">
        <v>392</v>
      </c>
      <c r="B11" s="11">
        <f>IFERROR(__xludf.DUMMYFUNCTION("ROUND(MEDIAN(FILTER(results_vendor_b!F2:F41,queries!$D$2:$D$41=""voice"")),0)"),683.0)</f>
        <v>683</v>
      </c>
      <c r="C11" s="4">
        <f>IFERROR(__xludf.DUMMYFUNCTION("ROUND(MEDIAN(FILTER(results_vendor_c!F2:F41,queries!$D$2:$D$41=""voice"")),0)"),661.0)</f>
        <v>661</v>
      </c>
      <c r="D11" s="4">
        <f>IFERROR(__xludf.DUMMYFUNCTION("ROUND(MEDIAN(FILTER(results_exa!F2:F41,queries!$D$2:$D$41=""voice"")),0)"),1337.0)</f>
        <v>1337</v>
      </c>
      <c r="E11" s="4">
        <f>IFERROR(__xludf.DUMMYFUNCTION("ROUND(MEDIAN(FILTER(results_exa_ft!F2:F41,queries!$D$2:$D$41=""voice"")),0)"),345.0)</f>
        <v>345</v>
      </c>
      <c r="F11" s="4"/>
      <c r="G11" s="4"/>
      <c r="H11" s="4"/>
      <c r="I11" s="4"/>
      <c r="J11" s="6"/>
    </row>
    <row r="12">
      <c r="A12" s="11" t="s">
        <v>393</v>
      </c>
      <c r="B12" s="11">
        <f>IFERROR(__xludf.DUMMYFUNCTION("ROUND(MEDIAN(FILTER(results_vendor_b!F2:F41,queries!$D$2:$D$41=""plan""))/1000,1)"),37.8)</f>
        <v>37.8</v>
      </c>
      <c r="C12" s="11">
        <f>IFERROR(__xludf.DUMMYFUNCTION("ROUND(MEDIAN(FILTER(results_vendor_c!F2:F41,queries!$D$2:$D$41=""plan""))/1000,1)"),6.1)</f>
        <v>6.1</v>
      </c>
      <c r="D12" s="11">
        <f>IFERROR(__xludf.DUMMYFUNCTION("ROUND(MEDIAN(FILTER(results_exa!F2:F41,queries!$D$2:$D$41=""plan""))/1000,1)"),1.9)</f>
        <v>1.9</v>
      </c>
      <c r="E12" s="4">
        <f>IFERROR(__xludf.DUMMYFUNCTION("ROUND(MEDIAN(FILTER(results_exa_ft!F2:F41,queries!$D$2:$D$41=""plan""))/1000,1)"),12.1)</f>
        <v>12.1</v>
      </c>
      <c r="F12" s="4"/>
      <c r="G12" s="4"/>
      <c r="H12" s="4"/>
      <c r="I12" s="4"/>
      <c r="J12" s="6"/>
    </row>
    <row r="13">
      <c r="A13" s="10" t="s">
        <v>394</v>
      </c>
      <c r="F13" s="4"/>
      <c r="G13" s="4"/>
      <c r="H13" s="4"/>
      <c r="I13" s="4"/>
      <c r="J13" s="6"/>
    </row>
    <row r="14">
      <c r="A14" s="11" t="s">
        <v>395</v>
      </c>
      <c r="B14" s="11">
        <f>ROUND(AVERAGEIF(queries!$D$2:$D$41,"&lt;&gt;plan",results_vendor_b!G2:G41),0)</f>
        <v>2355</v>
      </c>
      <c r="C14" s="4">
        <f>ROUND(AVERAGEIF(queries!$D$2:$D$41,"&lt;&gt;plan",results_vendor_c!G2:G41),0)</f>
        <v>1921</v>
      </c>
      <c r="D14" s="4">
        <f>ROUND(AVERAGEIF(queries!$D$2:$D$41,"&lt;&gt;plan",results_exa!G2:G41),0)</f>
        <v>22263</v>
      </c>
      <c r="E14" s="4">
        <f>ROUND(AVERAGEIF(queries!$D$2:$D$41,"&lt;&gt;plan",results_exa_ft!G2:G41),0)</f>
        <v>3039</v>
      </c>
      <c r="F14" s="4"/>
      <c r="G14" s="4"/>
      <c r="H14" s="4"/>
      <c r="I14" s="4"/>
      <c r="J14" s="6"/>
    </row>
    <row r="15">
      <c r="A15" s="11" t="s">
        <v>396</v>
      </c>
      <c r="B15" s="11" t="str">
        <f>TEXT(AVERAGEIF(queries!$D$2:$D$41,"&lt;&gt;plan",results_vendor_b!I2:I41),"$0.000")</f>
        <v>$0.006</v>
      </c>
      <c r="C15" s="4" t="str">
        <f>TEXT(AVERAGEIF(queries!$D$2:$D$41,"&lt;&gt;plan",results_vendor_c!I2:I41),"$0.000")</f>
        <v>$0.005</v>
      </c>
      <c r="D15" s="4" t="str">
        <f>TEXT(AVERAGEIF(queries!$D$2:$D$41,"&lt;&gt;plan",results_exa!I2:I41),"$0.000")</f>
        <v>$0.007</v>
      </c>
      <c r="E15" s="4" t="str">
        <f>TEXT(AVERAGEIF(queries!$D$2:$D$41,"&lt;&gt;plan",results_exa_ft!I2:I41),"$0.000")</f>
        <v>$0.004</v>
      </c>
      <c r="F15" s="4"/>
      <c r="G15" s="4"/>
      <c r="H15" s="4"/>
      <c r="I15" s="4"/>
      <c r="J15" s="6"/>
    </row>
    <row r="16">
      <c r="A16" s="11" t="s">
        <v>397</v>
      </c>
      <c r="B16" s="11" t="str">
        <f>TEXT(AVERAGEIF(queries!$D$2:$D$41,"plan",results_vendor_b!I2:I41),"$0.000")</f>
        <v>$0.050</v>
      </c>
      <c r="C16" s="4" t="str">
        <f>TEXT(AVERAGEIF(queries!$D$2:$D$41,"plan",results_vendor_c!I2:I41),"$0.000")</f>
        <v>$0.020</v>
      </c>
      <c r="D16" s="4" t="str">
        <f>TEXT(AVERAGEIF(queries!$D$2:$D$41,"plan",results_exa!I2:I41),"$0.000")</f>
        <v>$0.007</v>
      </c>
      <c r="E16" s="4" t="str">
        <f>TEXT(AVERAGEIF(queries!$D$2:$D$41,"plan",results_exa_ft!I2:I41),"$0.000")</f>
        <v>$0.012</v>
      </c>
      <c r="F16" s="4"/>
      <c r="G16" s="4"/>
      <c r="H16" s="4"/>
      <c r="I16" s="4"/>
      <c r="J16" s="6"/>
    </row>
    <row r="17">
      <c r="A17" s="4"/>
      <c r="B17" s="4"/>
      <c r="C17" s="4"/>
      <c r="D17" s="4"/>
      <c r="E17" s="4"/>
      <c r="F17" s="4"/>
      <c r="G17" s="4"/>
      <c r="H17" s="4"/>
      <c r="I17" s="4"/>
      <c r="J17" s="6"/>
    </row>
    <row r="18">
      <c r="A18" s="4"/>
      <c r="B18" s="4"/>
      <c r="C18" s="4"/>
      <c r="D18" s="4"/>
      <c r="E18" s="4"/>
      <c r="F18" s="4"/>
      <c r="G18" s="4"/>
      <c r="H18" s="4"/>
      <c r="I18" s="4"/>
      <c r="J18" s="6"/>
    </row>
    <row r="19">
      <c r="A19" s="4"/>
      <c r="B19" s="4"/>
      <c r="C19" s="4"/>
      <c r="D19" s="4"/>
      <c r="E19" s="4"/>
      <c r="F19" s="4"/>
      <c r="G19" s="4"/>
      <c r="H19" s="4"/>
      <c r="I19" s="4"/>
      <c r="J19" s="6"/>
    </row>
    <row r="20">
      <c r="A20" s="9" t="s">
        <v>398</v>
      </c>
      <c r="B20" s="9" t="s">
        <v>399</v>
      </c>
      <c r="C20" s="9" t="s">
        <v>187</v>
      </c>
      <c r="D20" s="9" t="s">
        <v>191</v>
      </c>
      <c r="E20" s="9" t="s">
        <v>215</v>
      </c>
      <c r="F20" s="9" t="s">
        <v>382</v>
      </c>
      <c r="G20" s="4"/>
      <c r="H20" s="4"/>
      <c r="I20" s="4"/>
      <c r="J20" s="6"/>
    </row>
    <row r="21">
      <c r="A21" s="11" t="s">
        <v>400</v>
      </c>
      <c r="B21" s="4">
        <f>COUNTIF(queries!C2:C41,LOWER(A21))</f>
        <v>7</v>
      </c>
      <c r="C21" s="4">
        <f>ROUND(AVERAGEIF(queries!$C$2:$C$41,LOWER($A21),results_vendor_b!D2:D41),2)</f>
        <v>3.71</v>
      </c>
      <c r="D21" s="4">
        <f>ROUND(AVERAGEIF(queries!$C$2:$C$41,LOWER($A21),results_vendor_c!D2:D41),2)</f>
        <v>3.14</v>
      </c>
      <c r="E21" s="4">
        <f>ROUND(AVERAGEIF(queries!$C$2:$C$41,LOWER($A21),results_exa!D2:D41),2)</f>
        <v>1.43</v>
      </c>
      <c r="F21" s="4">
        <f>ROUND(AVERAGEIF(queries!$C$2:$C$41,LOWER($A21),results_exa_ft!D2:D41),2)</f>
        <v>4.86</v>
      </c>
      <c r="G21" s="4"/>
      <c r="H21" s="4"/>
      <c r="I21" s="4"/>
      <c r="J21" s="6"/>
    </row>
    <row r="22">
      <c r="A22" s="11" t="s">
        <v>401</v>
      </c>
      <c r="B22" s="4">
        <f>COUNTIF(queries!C2:C41,LOWER(A22))</f>
        <v>5</v>
      </c>
      <c r="C22" s="4">
        <f>ROUND(AVERAGEIF(queries!$C$2:$C$41,LOWER($A22),results_vendor_b!D2:D41),2)</f>
        <v>3.8</v>
      </c>
      <c r="D22" s="4">
        <f>ROUND(AVERAGEIF(queries!$C$2:$C$41,LOWER($A22),results_vendor_c!D2:D41),2)</f>
        <v>3.8</v>
      </c>
      <c r="E22" s="4">
        <f>ROUND(AVERAGEIF(queries!$C$2:$C$41,LOWER($A22),results_exa!D2:D41),2)</f>
        <v>3.8</v>
      </c>
      <c r="F22" s="4">
        <f>ROUND(AVERAGEIF(queries!$C$2:$C$41,LOWER($A22),results_exa_ft!D2:D41),2)</f>
        <v>5</v>
      </c>
      <c r="G22" s="4"/>
      <c r="H22" s="4"/>
      <c r="I22" s="4"/>
      <c r="J22" s="6"/>
    </row>
    <row r="23">
      <c r="A23" s="11" t="s">
        <v>402</v>
      </c>
      <c r="B23" s="4">
        <f>COUNTIF(queries!C2:C41,LOWER(A23))</f>
        <v>6</v>
      </c>
      <c r="C23" s="4">
        <f>ROUND(AVERAGEIF(queries!$C$2:$C$41,LOWER($A23),results_vendor_b!D2:D41),2)</f>
        <v>4</v>
      </c>
      <c r="D23" s="4">
        <f>ROUND(AVERAGEIF(queries!$C$2:$C$41,LOWER($A23),results_vendor_c!D2:D41),2)</f>
        <v>3.83</v>
      </c>
      <c r="E23" s="4">
        <f>ROUND(AVERAGEIF(queries!$C$2:$C$41,LOWER($A23),results_exa!D2:D41),2)</f>
        <v>3.67</v>
      </c>
      <c r="F23" s="4">
        <f>ROUND(AVERAGEIF(queries!$C$2:$C$41,LOWER($A23),results_exa_ft!D2:D41),2)</f>
        <v>5</v>
      </c>
      <c r="G23" s="4"/>
      <c r="H23" s="4"/>
      <c r="I23" s="4"/>
      <c r="J23" s="6"/>
    </row>
    <row r="24">
      <c r="A24" s="11" t="s">
        <v>403</v>
      </c>
      <c r="B24" s="4">
        <f>COUNTIF(queries!C2:C41,LOWER(A24))</f>
        <v>4</v>
      </c>
      <c r="C24" s="4">
        <f>ROUND(AVERAGEIF(queries!$C$2:$C$41,LOWER($A24),results_vendor_b!D2:D41),2)</f>
        <v>3.75</v>
      </c>
      <c r="D24" s="4">
        <f>ROUND(AVERAGEIF(queries!$C$2:$C$41,LOWER($A24),results_vendor_c!D2:D41),2)</f>
        <v>3</v>
      </c>
      <c r="E24" s="4">
        <f>ROUND(AVERAGEIF(queries!$C$2:$C$41,LOWER($A24),results_exa!D2:D41),2)</f>
        <v>3</v>
      </c>
      <c r="F24" s="4">
        <f>ROUND(AVERAGEIF(queries!$C$2:$C$41,LOWER($A24),results_exa_ft!D2:D41),2)</f>
        <v>5</v>
      </c>
      <c r="G24" s="4"/>
      <c r="H24" s="4"/>
      <c r="I24" s="4"/>
      <c r="J24" s="6"/>
    </row>
    <row r="25">
      <c r="A25" s="11" t="s">
        <v>404</v>
      </c>
      <c r="B25" s="4">
        <f>COUNTIF(queries!C2:C41,LOWER(A25))</f>
        <v>6</v>
      </c>
      <c r="C25" s="4">
        <f>ROUND(AVERAGEIF(queries!$C$2:$C$41,LOWER($A25),results_vendor_b!D2:D41),2)</f>
        <v>3.5</v>
      </c>
      <c r="D25" s="4">
        <f>ROUND(AVERAGEIF(queries!$C$2:$C$41,LOWER($A25),results_vendor_c!D2:D41),2)</f>
        <v>3.17</v>
      </c>
      <c r="E25" s="4">
        <f>ROUND(AVERAGEIF(queries!$C$2:$C$41,LOWER($A25),results_exa!D2:D41),2)</f>
        <v>3.5</v>
      </c>
      <c r="F25" s="4">
        <f>ROUND(AVERAGEIF(queries!$C$2:$C$41,LOWER($A25),results_exa_ft!D2:D41),2)</f>
        <v>4.33</v>
      </c>
      <c r="G25" s="4"/>
      <c r="H25" s="4"/>
      <c r="I25" s="4"/>
      <c r="J25" s="6"/>
    </row>
    <row r="26">
      <c r="A26" s="11" t="s">
        <v>405</v>
      </c>
      <c r="B26" s="4">
        <f>COUNTIF(queries!C2:C41,LOWER(A26))</f>
        <v>12</v>
      </c>
      <c r="C26" s="4">
        <f>ROUND(AVERAGEIF(queries!$C$2:$C$41,LOWER($A26),results_vendor_b!D2:D41),2)</f>
        <v>3.75</v>
      </c>
      <c r="D26" s="4">
        <f>ROUND(AVERAGEIF(queries!$C$2:$C$41,LOWER($A26),results_vendor_c!D2:D41),2)</f>
        <v>3.17</v>
      </c>
      <c r="E26" s="4">
        <f>ROUND(AVERAGEIF(queries!$C$2:$C$41,LOWER($A26),results_exa!D2:D41),2)</f>
        <v>2.83</v>
      </c>
      <c r="F26" s="4">
        <f>ROUND(AVERAGEIF(queries!$C$2:$C$41,LOWER($A26),results_exa_ft!D2:D41),2)</f>
        <v>3.83</v>
      </c>
      <c r="G26" s="4"/>
      <c r="H26" s="4"/>
      <c r="I26" s="4"/>
      <c r="J26" s="6"/>
    </row>
    <row r="27">
      <c r="A27" s="4"/>
      <c r="B27" s="11"/>
      <c r="C27" s="4"/>
      <c r="D27" s="4"/>
      <c r="E27" s="4"/>
      <c r="F27" s="4"/>
      <c r="G27" s="4"/>
      <c r="H27" s="4"/>
      <c r="I27" s="4"/>
      <c r="J27" s="6"/>
    </row>
    <row r="28">
      <c r="A28" s="4"/>
      <c r="B28" s="4"/>
      <c r="C28" s="4"/>
      <c r="D28" s="4"/>
      <c r="E28" s="4"/>
      <c r="F28" s="4"/>
      <c r="G28" s="4"/>
      <c r="H28" s="4"/>
      <c r="I28" s="4"/>
      <c r="J28" s="6"/>
    </row>
    <row r="29">
      <c r="A29" s="11" t="s">
        <v>406</v>
      </c>
      <c r="B29" s="4"/>
      <c r="C29" s="4"/>
      <c r="D29" s="4"/>
      <c r="E29" s="4"/>
      <c r="F29" s="4"/>
      <c r="G29" s="4"/>
      <c r="H29" s="4"/>
      <c r="I29" s="4"/>
      <c r="J29" s="6"/>
    </row>
    <row r="30">
      <c r="A30" s="9" t="s">
        <v>407</v>
      </c>
      <c r="B30" s="9">
        <v>1.0</v>
      </c>
      <c r="C30" s="9">
        <v>2.0</v>
      </c>
      <c r="D30" s="9">
        <v>3.0</v>
      </c>
      <c r="E30" s="9">
        <v>4.0</v>
      </c>
      <c r="F30" s="9">
        <v>5.0</v>
      </c>
      <c r="G30" s="11"/>
      <c r="H30" s="11"/>
      <c r="I30" s="11"/>
      <c r="J30" s="13"/>
    </row>
    <row r="31">
      <c r="A31" s="11" t="s">
        <v>187</v>
      </c>
      <c r="B31" s="4">
        <f>COUNTIF(results_vendor_b!D2:D41,1)</f>
        <v>1</v>
      </c>
      <c r="C31" s="11">
        <f>COUNTIF(results_vendor_b!D2:D41,2)</f>
        <v>2</v>
      </c>
      <c r="D31" s="11">
        <f>COUNTIF(results_vendor_b!D2:D41,3)</f>
        <v>8</v>
      </c>
      <c r="E31" s="11">
        <f>COUNTIF(results_vendor_b!D2:D41,4)</f>
        <v>24</v>
      </c>
      <c r="F31" s="11">
        <f>COUNTIF(results_vendor_b!D2:D41,5)</f>
        <v>5</v>
      </c>
      <c r="G31" s="11"/>
      <c r="H31" s="11"/>
      <c r="I31" s="11"/>
      <c r="J31" s="13"/>
    </row>
    <row r="32">
      <c r="A32" s="11" t="s">
        <v>191</v>
      </c>
      <c r="B32" s="4">
        <f>COUNTIF(results_vendor_c!D2:D41,1)</f>
        <v>1</v>
      </c>
      <c r="C32" s="11">
        <f>COUNTIF(results_vendor_c!D2:D41,2)</f>
        <v>2</v>
      </c>
      <c r="D32" s="11">
        <f>COUNTIF(results_vendor_c!D2:D41,3)</f>
        <v>24</v>
      </c>
      <c r="E32" s="11">
        <f>COUNTIF(results_vendor_c!D2:D41,4)</f>
        <v>9</v>
      </c>
      <c r="F32" s="11">
        <f>COUNTIF(results_vendor_c!D2:D41,5)</f>
        <v>4</v>
      </c>
      <c r="G32" s="11"/>
      <c r="H32" s="11"/>
      <c r="I32" s="11"/>
      <c r="J32" s="13"/>
    </row>
    <row r="33">
      <c r="A33" s="11" t="s">
        <v>215</v>
      </c>
      <c r="B33" s="4">
        <f>COUNTIF(results_exa!D2:D41,1)</f>
        <v>9</v>
      </c>
      <c r="C33" s="11">
        <f>COUNTIF(results_exa!D2:D41,2)</f>
        <v>11</v>
      </c>
      <c r="D33" s="11">
        <f>COUNTIF(results_exa!D2:D41,3)</f>
        <v>4</v>
      </c>
      <c r="E33" s="11">
        <f>COUNTIF(results_exa!D2:D41,4)</f>
        <v>5</v>
      </c>
      <c r="F33" s="11">
        <f>COUNTIF(results_exa!D2:D41,5)</f>
        <v>11</v>
      </c>
      <c r="G33" s="11"/>
      <c r="H33" s="11"/>
      <c r="I33" s="11"/>
      <c r="J33" s="13"/>
    </row>
    <row r="34">
      <c r="A34" s="11" t="s">
        <v>382</v>
      </c>
      <c r="B34" s="4">
        <f>COUNTIF(results_exa_ft!D2:D41,1)</f>
        <v>1</v>
      </c>
      <c r="C34" s="11">
        <f>COUNTIF(results_exa_ft!D2:D41,2)</f>
        <v>1</v>
      </c>
      <c r="D34" s="11">
        <f>COUNTIF(results_exa_ft!D2:D41,3)</f>
        <v>4</v>
      </c>
      <c r="E34" s="11">
        <f>COUNTIF(results_exa_ft!D2:D41,4)</f>
        <v>4</v>
      </c>
      <c r="F34" s="11">
        <f>COUNTIF(results_exa_ft!D2:D41,5)</f>
        <v>30</v>
      </c>
      <c r="G34" s="11"/>
      <c r="H34" s="11"/>
      <c r="I34" s="11"/>
      <c r="J34" s="13"/>
    </row>
    <row r="35">
      <c r="A35" s="2"/>
      <c r="B35" s="2"/>
      <c r="C35" s="5"/>
      <c r="D35" s="11"/>
      <c r="E35" s="5"/>
      <c r="F35" s="11"/>
      <c r="G35" s="11"/>
      <c r="H35" s="11"/>
      <c r="I35" s="11"/>
      <c r="J35" s="13"/>
    </row>
    <row r="36">
      <c r="A36" s="5" t="s">
        <v>408</v>
      </c>
      <c r="B36" s="2"/>
      <c r="C36" s="5"/>
      <c r="D36" s="11"/>
      <c r="E36" s="5"/>
      <c r="F36" s="11"/>
      <c r="G36" s="11"/>
      <c r="H36" s="11"/>
      <c r="I36" s="11"/>
      <c r="J36" s="13"/>
    </row>
    <row r="37">
      <c r="A37" s="5" t="s">
        <v>409</v>
      </c>
      <c r="B37" s="2"/>
      <c r="C37" s="5"/>
      <c r="D37" s="11"/>
      <c r="E37" s="5"/>
      <c r="F37" s="11"/>
      <c r="G37" s="11"/>
      <c r="H37" s="11"/>
      <c r="I37" s="11"/>
      <c r="J37" s="13"/>
    </row>
    <row r="38">
      <c r="A38" s="5" t="s">
        <v>410</v>
      </c>
      <c r="B38" s="2"/>
      <c r="C38" s="5"/>
      <c r="D38" s="11"/>
      <c r="E38" s="5"/>
      <c r="F38" s="11"/>
      <c r="G38" s="11"/>
      <c r="H38" s="11"/>
      <c r="I38" s="11"/>
      <c r="J38" s="13"/>
    </row>
    <row r="39">
      <c r="A39" s="5" t="s">
        <v>411</v>
      </c>
      <c r="B39" s="2"/>
      <c r="C39" s="2"/>
      <c r="D39" s="4"/>
      <c r="E39" s="2"/>
      <c r="F39" s="4"/>
      <c r="G39" s="4"/>
      <c r="H39" s="4"/>
      <c r="I39" s="4"/>
      <c r="J39" s="6"/>
    </row>
    <row r="40">
      <c r="A40" s="2"/>
      <c r="B40" s="2"/>
      <c r="C40" s="2"/>
      <c r="D40" s="4"/>
      <c r="E40" s="2"/>
      <c r="F40" s="4"/>
      <c r="G40" s="4"/>
      <c r="H40" s="4"/>
      <c r="I40" s="4"/>
      <c r="J40" s="6"/>
    </row>
    <row r="41">
      <c r="A41" s="2"/>
      <c r="B41" s="2"/>
      <c r="C41" s="2"/>
      <c r="D41" s="4"/>
      <c r="E41" s="2"/>
      <c r="F41" s="4"/>
      <c r="G41" s="4"/>
      <c r="H41" s="4"/>
      <c r="I41" s="4"/>
      <c r="J41" s="6"/>
    </row>
    <row r="42">
      <c r="A42" s="14" t="s">
        <v>412</v>
      </c>
      <c r="B42" s="15"/>
      <c r="C42" s="15"/>
      <c r="D42" s="15"/>
      <c r="E42" s="15"/>
    </row>
    <row r="43">
      <c r="A43" s="7" t="s">
        <v>413</v>
      </c>
      <c r="B43" s="7">
        <v>4.0E7</v>
      </c>
    </row>
    <row r="44">
      <c r="A44" s="7" t="s">
        <v>414</v>
      </c>
      <c r="B44" s="16">
        <v>0.25</v>
      </c>
    </row>
    <row r="45">
      <c r="A45" s="7" t="s">
        <v>415</v>
      </c>
      <c r="B45" s="7">
        <v>600000.0</v>
      </c>
    </row>
    <row r="46">
      <c r="A46" s="7" t="s">
        <v>416</v>
      </c>
      <c r="B46" s="7">
        <v>1.25</v>
      </c>
    </row>
    <row r="48">
      <c r="A48" s="17" t="s">
        <v>417</v>
      </c>
      <c r="B48" s="17" t="s">
        <v>187</v>
      </c>
      <c r="C48" s="17" t="s">
        <v>191</v>
      </c>
      <c r="D48" s="17" t="s">
        <v>215</v>
      </c>
      <c r="E48" s="17" t="s">
        <v>382</v>
      </c>
    </row>
    <row r="49">
      <c r="A49" s="7" t="s">
        <v>418</v>
      </c>
      <c r="B49" s="18">
        <f>ROUND($B$43*((1-$B$44)*AVERAGEIF(queries!$D$2:$D$41,"chat",results_vendor_b!I2:I41)+$B$44*AVERAGEIF(queries!$D$2:$D$41,"voice",results_vendor_b!I2:I41))+$B$45*AVERAGEIF(queries!$D$2:$D$41,"plan",results_vendor_b!I2:I41),0)</f>
        <v>270000</v>
      </c>
      <c r="C49" s="18">
        <f>ROUND($B$43*((1-$B$44)*AVERAGEIF(queries!$D$2:$D$41,"chat",results_vendor_c!I2:I41)+$B$44*AVERAGEIF(queries!$D$2:$D$41,"voice",results_vendor_c!I2:I41))+$B$45*AVERAGEIF(queries!$D$2:$D$41,"plan",results_vendor_c!I2:I41),0)</f>
        <v>212000</v>
      </c>
      <c r="D49" s="18">
        <f>ROUND($B$43*((1-$B$44)*AVERAGEIF(queries!$D$2:$D$41,"chat",results_exa!I2:I41)+$B$44*AVERAGEIF(queries!$D$2:$D$41,"voice",results_exa!I2:I41))+$B$45*AVERAGEIF(queries!$D$2:$D$41,"plan",results_exa!I2:I41),0)</f>
        <v>284200</v>
      </c>
      <c r="E49" s="18">
        <f>ROUND($B$43*((1-$B$44)*AVERAGEIF(queries!$D$2:$D$41,"chat",results_exa_ft!I2:I41)+$B$44*AVERAGEIF(queries!$D$2:$D$41,"voice",results_exa_ft!I2:I41))+$B$45*AVERAGEIF(queries!$D$2:$D$41,"plan",results_exa_ft!I2:I41),0)</f>
        <v>167200</v>
      </c>
    </row>
    <row r="50">
      <c r="A50" s="7" t="s">
        <v>419</v>
      </c>
      <c r="B50" s="18">
        <f>ROUND($B$43*((1-$B$44)*AVERAGEIF(queries!$D$2:$D$41,"chat",results_vendor_b!H2:H41)+$B$44*AVERAGEIF(queries!$D$2:$D$41,"voice",results_vendor_b!H2:H41))*$B$46/1000000,0)</f>
        <v>117611</v>
      </c>
      <c r="C50" s="18">
        <f>ROUND($B$43*((1-$B$44)*AVERAGEIF(queries!$D$2:$D$41,"chat",results_vendor_c!H2:H41)+$B$44*AVERAGEIF(queries!$D$2:$D$41,"voice",results_vendor_c!H2:H41))*$B$46/1000000,0)</f>
        <v>96360</v>
      </c>
      <c r="D50" s="18">
        <f>ROUND($B$43*((1-$B$44)*AVERAGEIF(queries!$D$2:$D$41,"chat",results_exa!H2:H41)+$B$44*AVERAGEIF(queries!$D$2:$D$41,"voice",results_exa!H2:H41))*$B$46/1000000,0)</f>
        <v>299956</v>
      </c>
      <c r="E50" s="18">
        <f>ROUND($B$43*((1-$B$44)*AVERAGEIF(queries!$D$2:$D$41,"chat",results_exa_ft!H2:H41)+$B$44*AVERAGEIF(queries!$D$2:$D$41,"voice",results_exa_ft!H2:H41))*$B$46/1000000,0)</f>
        <v>164645</v>
      </c>
    </row>
    <row r="51">
      <c r="A51" s="14" t="s">
        <v>420</v>
      </c>
      <c r="B51" s="19">
        <f t="shared" ref="B51:E51" si="1">SUM(B49:B50)</f>
        <v>387611</v>
      </c>
      <c r="C51" s="19">
        <f t="shared" si="1"/>
        <v>308360</v>
      </c>
      <c r="D51" s="19">
        <f t="shared" si="1"/>
        <v>584156</v>
      </c>
      <c r="E51" s="19">
        <f t="shared" si="1"/>
        <v>331845</v>
      </c>
    </row>
    <row r="53">
      <c r="A53" s="7" t="s">
        <v>421</v>
      </c>
    </row>
    <row r="54">
      <c r="A54" s="7" t="s">
        <v>422</v>
      </c>
    </row>
    <row r="55">
      <c r="A55" s="7" t="s">
        <v>423</v>
      </c>
    </row>
  </sheetData>
  <mergeCells count="3">
    <mergeCell ref="A2:E2"/>
    <mergeCell ref="A8:E8"/>
    <mergeCell ref="A13:E13"/>
  </mergeCells>
  <drawing r:id="rId1"/>
</worksheet>
</file>